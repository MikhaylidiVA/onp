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mareva\Documents\WORK 2021\Совершенствование управления КВ\2025.02.13_Протокол Андрющенко\по п.3 раздела II (Бакич)\По самооценке - калькулятор\2025.04.01_В Д34 про самооценку\"/>
    </mc:Choice>
  </mc:AlternateContent>
  <bookViews>
    <workbookView xWindow="11160" yWindow="0" windowWidth="28800" windowHeight="12300"/>
  </bookViews>
  <sheets>
    <sheet name="Лист3" sheetId="3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3" l="1"/>
  <c r="C30" i="3" s="1"/>
  <c r="B46" i="3" l="1"/>
  <c r="C34" i="3" l="1"/>
  <c r="C33" i="3"/>
  <c r="C60" i="3"/>
  <c r="C66" i="3"/>
  <c r="B48" i="3" l="1"/>
  <c r="B40" i="3" s="1"/>
  <c r="B49" i="3"/>
  <c r="B41" i="3" s="1"/>
  <c r="B47" i="3"/>
  <c r="B39" i="3" s="1"/>
  <c r="C88" i="3"/>
  <c r="C92" i="3"/>
  <c r="B77" i="3" l="1"/>
  <c r="C84" i="3"/>
  <c r="C78" i="3"/>
  <c r="C87" i="3"/>
  <c r="C91" i="3"/>
  <c r="C96" i="3"/>
  <c r="C95" i="3"/>
  <c r="C94" i="3"/>
  <c r="C70" i="3"/>
  <c r="C69" i="3"/>
  <c r="C65" i="3"/>
  <c r="C64" i="3"/>
  <c r="C63" i="3"/>
  <c r="C59" i="3"/>
  <c r="B38" i="3"/>
  <c r="C55" i="3"/>
  <c r="C37" i="3"/>
  <c r="C36" i="3"/>
  <c r="C35" i="3"/>
  <c r="C31" i="3"/>
  <c r="C29" i="3"/>
  <c r="C28" i="3"/>
  <c r="C27" i="3"/>
  <c r="C26" i="3"/>
  <c r="C53" i="3" l="1"/>
  <c r="C52" i="3"/>
  <c r="C50" i="3"/>
  <c r="C54" i="3" l="1"/>
  <c r="C24" i="3" s="1"/>
  <c r="C18" i="3"/>
  <c r="H103" i="3" s="1"/>
  <c r="C17" i="3"/>
  <c r="C16" i="3"/>
  <c r="C15" i="3"/>
  <c r="H102" i="3" s="1"/>
  <c r="H100" i="3" l="1"/>
  <c r="C51" i="3"/>
  <c r="C22" i="3" l="1"/>
  <c r="C100" i="3" s="1"/>
  <c r="C101" i="3" s="1"/>
</calcChain>
</file>

<file path=xl/comments1.xml><?xml version="1.0" encoding="utf-8"?>
<comments xmlns="http://schemas.openxmlformats.org/spreadsheetml/2006/main">
  <authors>
    <author>А.В. Корыстова</author>
  </authors>
  <commentList>
    <comment ref="C8" authorId="0" shapeId="0">
      <text>
        <r>
          <rPr>
            <b/>
            <sz val="9"/>
            <color indexed="81"/>
            <rFont val="Tahoma"/>
            <charset val="1"/>
          </rPr>
          <t xml:space="preserve">пример,
необходимо заполнить </t>
        </r>
      </text>
    </comment>
    <comment ref="D8" authorId="0" shapeId="0">
      <text>
        <r>
          <rPr>
            <b/>
            <sz val="9"/>
            <color indexed="81"/>
            <rFont val="Tahoma"/>
            <family val="2"/>
            <charset val="204"/>
          </rPr>
          <t>единицы измерения мощности
(пример, необходимо заполнить)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проведение оценки эффективности по объекту не требуется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материалы, представленные в ненадлежащем порядке, не могут быть приняты к рассмотрению(требуется подписание Сведений руководителем (или уполномоченным им лицом)).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по подкритерию выставляется 0 баллов
нет - не влияет на расчет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балл проставляется в зависимости от % использования мощности (на 100% - 1 балл, от 75 до 100% - 0,6 балла)
нет - минус 0,2 балла от оценки в зависимости от % использования мощности (на 100% - 1 балл, от 75 до 100% - 0,6 балла)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минус 0,2 балла
нет - не влияет на расчет</t>
        </r>
      </text>
    </comment>
    <comment ref="C30" authorId="0" shapeId="0">
      <text>
        <r>
          <rPr>
            <b/>
            <sz val="9"/>
            <color indexed="81"/>
            <rFont val="Tahoma"/>
            <charset val="1"/>
          </rPr>
          <t>в целях избежания задвоения результата "-0,2" в случае выбора ответа "да" и в пункте 1.5, и в пункте 1.7 одновременно,
значение "-0,2" отобразится только в одном из них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минус 0,2 балла
нет - не влияет на расчет</t>
        </r>
      </text>
    </comment>
    <comment ref="C32" authorId="0" shapeId="0">
      <text>
        <r>
          <rPr>
            <b/>
            <sz val="9"/>
            <color indexed="81"/>
            <rFont val="Tahoma"/>
            <charset val="1"/>
          </rPr>
          <t>в целях избежания задвоения результата "-0,2" в случае выбора ответа "да" и в пункте 1.5, и в пункте 1.7 одновременно,
значение "-0,2" отобразится только в одном из них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по подкритерию выставляется 0 баллов
нет - не влияет на расчет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по подкритерию выставляется 0 баллов
нет - не влияет на расчет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  <comment ref="B36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  <charset val="204"/>
          </rPr>
          <t>проектная мощность будет использоваться в полном объеме, есть необходимая инженерная инфраструктура и не установлены зоны с особыми условиями - 1 балл;
 проектная мощность будет использоваться в полном объеме, нет необходимой инженерной инфраструктуры - 0,8 балла
  проектная мощность будет использоваться менее чем на 100%, но более чем на 75%; есть инженерная инфраструктура и не установлены зоны с особыми условиями - 0,6 балла;  
проектная мощность будет использоваться менее чем на 100%, но более чем на 75; нет инженерной инфраструктуры - 0,4 балла;  
 мощность будет использоваться менее чем на 75%, либо реализация возможна без использования средств федерального бюджета либо иными способами, либо ограничения по земле - 0 баллов</t>
        </r>
      </text>
    </comment>
    <comment ref="C50" authorId="0" shapeId="0">
      <text>
        <r>
          <rPr>
            <b/>
            <sz val="9"/>
            <color indexed="81"/>
            <rFont val="Tahoma"/>
            <family val="2"/>
            <charset val="204"/>
          </rPr>
          <t>В случае если мощность объекта характеризуется несколькими единицами измерения, отражающими различные и не сопоставимые параметры объекта, то оценка по подкритерию рассчитывается как среднее арифметическое баллов по обоснованию мощности каждой из таких единиц измерения.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  <charset val="204"/>
          </rPr>
          <t>В случае отрицательного ответа заявителю рекомендуется сосредоточиться на реализации инвестиционных проектов в первую очередь в тех субъектах РФ, по которым наблюдается уровень обеспечености ниже среднего уровня по России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да / не применимо - не влияет на расчет
нет - материалы требуют доработки
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  <charset val="204"/>
          </rPr>
          <t>да  - 1 балл, 
нет / не применимо - 0 баллов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  <charset val="204"/>
          </rPr>
          <t>да / не применимо - не влияет на расчет
нет - материалы требуют доработки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  <charset val="204"/>
          </rPr>
          <t>да / не применимо - не влияет на расчет
нет - материалы требуют доработки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  <charset val="204"/>
          </rPr>
          <t>да / не применимо - не влияет на расчет
нет - материалы требуют доработки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66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- 1 балл, 
нет/ не применимо - 0 баллов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0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да - не влияет на расчет
нет - материалы требуют доработки
</t>
        </r>
      </text>
    </comment>
    <comment ref="B78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  <comment ref="B84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  <comment ref="B88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- 1 балл, 
нет - 0 баллов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  <comment ref="B92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- 1 балл, 
нет - 0 баллов</t>
        </r>
      </text>
    </comment>
    <comment ref="B94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  <charset val="204"/>
          </rPr>
          <t>да - не влияет на расчет
нет - материалы требуют доработки</t>
        </r>
      </text>
    </comment>
  </commentList>
</comments>
</file>

<file path=xl/sharedStrings.xml><?xml version="1.0" encoding="utf-8"?>
<sst xmlns="http://schemas.openxmlformats.org/spreadsheetml/2006/main" count="134" uniqueCount="90">
  <si>
    <t xml:space="preserve">1. Наличие потребителей продукции (услуг), создаваемой в результате реализации инвестиционного проекта </t>
  </si>
  <si>
    <t>2. Все данные, представляемые заявителем  для обоснования спроса (потребности) на продукцию (услуги), имеют числовые выражения и подтверждены соответствующими расчетами как на момент представления Сведений, так и на момент ввода объекта в эксплуатацию.</t>
  </si>
  <si>
    <t>3. Сведения (а не только сопроводительное письмо!), направляемые заявителем (ГРБС) для проведения оценки эффективности, подписаны руководителем (или уполномоченным им лицом)</t>
  </si>
  <si>
    <t>4. Материалы не содержат противоречивой информации, все данные (стоимость объекта, мощность, сроки реализации, объем финансирования за счет всех источников и т.д.) однозначны и не допускают двоякого толкования</t>
  </si>
  <si>
    <t>1.2. В отношении территории строительства объекта установлена зона с особыми условиями использования территорий, препятствующая осуществлению строительства</t>
  </si>
  <si>
    <t>1.3. Территория строительства обеспечена инженерной инфраструктурой, необходимой для функционирования объекта капитального строительства после ввода его в эксплуатацию</t>
  </si>
  <si>
    <t>3.4. Продукция не имеет мировых аналогов, либо ее выпуск предусмотрен в рамках импортозамещения, либо отмечается высокий спрос</t>
  </si>
  <si>
    <t>2.1. Информация об утвержденных нормативах обеспеченности населения объектами социальной сферы (со ссылками на утвержденные нормативы) и уровне их выполнения (достижения) до реализации инвестиционного проекта и после реализации инвестиционного проекта представлена</t>
  </si>
  <si>
    <t>I. Общие положения</t>
  </si>
  <si>
    <t>IV. Справочно</t>
  </si>
  <si>
    <t>1.1. Представлена информация о прогнозном объеме дополнительных ежегодных расходов федерального бюджета на содержание (эксплуатацию) объекта капитального строительства или объекта недвижимого имущества, возникающих после ввода его в эксплуатацию (приобретения)</t>
  </si>
  <si>
    <t>1.2. Представлена информация о наличии объекта капитального строительства или объекта недвижимого имущества в утвержденных (согласованных) схемах территориального планирования и соответствии данных о них параметрам инвестиционного проекта (в случае, если объект в соответствии с законодательством Российской Федерации о градостроительной деятельности подлежит отображению в схемах территориального планирования)</t>
  </si>
  <si>
    <t>1. Указано наименование государственной программы Российской Федерации (федерального проекта или ведомственного проекта) и (или) федеральной целевой программы либо информация о наличии соответствующих решений (поручений, указаний) Президента Российской Федерации, Правительства Российской Федерации, Совета Безопасности Российской Федерации, коллегии Военно-промышленной комиссии Российской Федерации (для инвестиционных проектов, реализуемых вне рамок государственных программ Российской Федерации)</t>
  </si>
  <si>
    <t>показатель структурного элемента ГП с учетом других запланированных проектов достигается на 100% - 1 балл</t>
  </si>
  <si>
    <t>показатель структурного элемента ГП с учетом других запланированных проектов достигается менее чем на 75% - 0 баллов</t>
  </si>
  <si>
    <t>Для объектов, реализуемых в рамках государственных программ Российской Федерации и (или) федеральных целевых программ</t>
  </si>
  <si>
    <t>2. Представлена информация о наличии (и наименовании) показателя в структурном элементе государственной программы Российской Федерации, характеризующего капитальные вложения, и его количественная характеристика</t>
  </si>
  <si>
    <t>3. На сколько % достигается показатель структурного элемента ГП с учетом других запланированных проектов (приводится расчет количественно выраженного влияния рассматриваемого инвестиционного проекта на конкретный показатель структурного элемента ГП (доля (в процентах) выполнения показателя)</t>
  </si>
  <si>
    <t xml:space="preserve">
5. Реализация проекта имеет положительное влияние на показатель структурного элемента ГП </t>
  </si>
  <si>
    <t>1.4. Все альтернативные способы достижения конечных результатов (эффектов) реализации инвестиционного проекта, не связанные с реализацией данного инвестиционного проекта, проанализированы, произведены расчеты их стоимости и эффективности, проведено сравнение с предлагаемым к реализации инвестиционным проектом, анализ и расчеты представлены</t>
  </si>
  <si>
    <t>3.1. Информация, подтверждающая наличие неудовлетворенного спроса на продукцию в числовом выражении и ссылки на официальные источники информации представлены, произведенены расчеты спроса на данный момент и на момент ввода объекта в эксплуатацию, анализ существующего спроса и расчеты представлены</t>
  </si>
  <si>
    <t>1.6. Все альтернативные источники и механизмы финансирования инвестиционного проекта проанализированы, при необходимости произведены расчеты, анализ и расчеты (в случае необходимости их проведения) представлены</t>
  </si>
  <si>
    <t>2.2. Нормативы обеспеченности после реализации проекта не превышены более чем на 10%</t>
  </si>
  <si>
    <t>3.3. Представлено обоснование того, почему данную продукцию (услуги) нецелесообразно закупать у зарубежных производителей, подкрепленное соответствующими расчетами (высокая стоимость, невозможность приобретения из-за санкций, отсутствие аналогов, необходимость развития отечественного производства с точки зрения промышленной безопасности и т.д.),  анализ и расчеты представлены</t>
  </si>
  <si>
    <t>1.9. Достижение конечных результатов (эффектов) реализации инвестиционного проекта возможно иными способами</t>
  </si>
  <si>
    <t>1.10. Данные о существующем спросе на продукцию (услуги) в числовом выражении и ссылки на официальные источники информации представлены, произведенены расчеты спроса на данный момент и на момент ввода объекта в эксплуатацию, анализ существующего спроса и расчеты представлены</t>
  </si>
  <si>
    <t xml:space="preserve">1.11.  Произведен расчет необеспеченной потребности в продукции (услугах) с учетом уже созданных и создаваемых мощностей, выраженной в количественных показателях, на год планируемого ввода объекта в эксплуатацию. </t>
  </si>
  <si>
    <t>1.12. Произведен расчет мощности объекта, необходимой для обеспечения выявленной потребности в продукции (услугах).</t>
  </si>
  <si>
    <t>1.7. Финансирование инвестиционного проекта  частично возможно за счет иных источников  или механизмов финансирования, при этом инвестиционым проектом  софинансирование за счет иных источников не предусмотрено</t>
  </si>
  <si>
    <t>показатель структурного элемента ГП с учетом других запланированных проектов достигается  менее чем на 100%, но более чем на 75% - 0,5 балла</t>
  </si>
  <si>
    <t>1.5. Достижение конечных результатов (эффектов) реализации инвестиционного проекта частично возможно за счет иных способов, не связанных с реализацией данного инвестиционного проекта, при этом инвестиционным проектом такая возможность не учтена</t>
  </si>
  <si>
    <t>1.8. Реализация инвестиционного проекта возможна без привлечения средств федерального бюджета, за счет альтернативных механизмов финансирования (государственно-частное партнерство, концессионные соглашения, собственные средства предприятия и другие)</t>
  </si>
  <si>
    <t xml:space="preserve">1.14. Фактический уровень обеспеченности субъекта Российской Федерации соответсвующими услугами, на обеспечение которых направлен объект, в соответствующей сфере не превышает средний по России </t>
  </si>
  <si>
    <t>3.2. Представлена информация об имеющихся производителях аналогичной продукции (объемы производства, основные характеристики, наименование и месторасположение), либо их отсутствии</t>
  </si>
  <si>
    <t>4. Представлена информация о влиянии на показатели структурного элемента ГП реализации других инвестиционных проектов, запланированных 
для достижения показателя структурного элемента ГП и (или) ФЦП</t>
  </si>
  <si>
    <t>1. Заявителем представлена информация о наличии решений (поручений, указаний) Президента Российской Федерации, Правительства Российской Федерации, Совета Безопасности Российской Федерации и коллегии Военно-промышленной комиссии Российской Федерации о реализации инвестиционного проекта</t>
  </si>
  <si>
    <t xml:space="preserve">2.  Результаты инвестиционного проекта соответствуют указанным решениям </t>
  </si>
  <si>
    <t>1. Заявителем представлена информация о влиянии инвестиционного проекта на достижение приоритетов и целей стратегии национальной безопасности Российской Федерации, приоритетов и целей, определенных в отраслевых стратегиях развития на среднесрочный и долгосрочный периоды (планах строительства и развития Вооруженных Сил Российской Федерации, других войск, воинских формирований и органов), с указанием реквизитов указанных стратегий</t>
  </si>
  <si>
    <t>2.  Результаты инвестиционного проекта соответствуют указанным стратегиям и планам</t>
  </si>
  <si>
    <t>Сведения об инвестиционном проекте</t>
  </si>
  <si>
    <t>1. Наименование объекта капитального строительства, объекта недвижимого имущества (далее - объект), создаваемого (реконструируемого, приобретаемого) в результате реализации инвестиционного проекта</t>
  </si>
  <si>
    <t>2. Уникальный код</t>
  </si>
  <si>
    <t>3. Отрасль</t>
  </si>
  <si>
    <t>4. ГРБС</t>
  </si>
  <si>
    <t>5. Срок реализации</t>
  </si>
  <si>
    <t>7. Статус объекта (существующий, строящийся, объект незавершенного строительства, планируемый, планируемый к реконструкции)</t>
  </si>
  <si>
    <t>8. Запрашиваемый объем финансирования в целом и из федерального бюджета</t>
  </si>
  <si>
    <t xml:space="preserve">Расчет итоговой оценки эффективности </t>
  </si>
  <si>
    <t>w8</t>
  </si>
  <si>
    <t>2.1</t>
  </si>
  <si>
    <t>2.2</t>
  </si>
  <si>
    <t>z8</t>
  </si>
  <si>
    <t>T8</t>
  </si>
  <si>
    <t>3</t>
  </si>
  <si>
    <t>2</t>
  </si>
  <si>
    <t>Q8</t>
  </si>
  <si>
    <t>E8</t>
  </si>
  <si>
    <t>1.2</t>
  </si>
  <si>
    <t>влияет на итог</t>
  </si>
  <si>
    <t>влияет на Е34</t>
  </si>
  <si>
    <t xml:space="preserve">мощность создаваемого объекта: </t>
  </si>
  <si>
    <t>указывается результат в %:</t>
  </si>
  <si>
    <r>
      <t xml:space="preserve">II.Оценка потребности (спроса) </t>
    </r>
    <r>
      <rPr>
        <sz val="20"/>
        <color rgb="FF0070C0"/>
        <rFont val="Calibri"/>
        <family val="2"/>
        <charset val="204"/>
        <scheme val="minor"/>
      </rPr>
      <t>(обоснованность  потребности  в  создаваемых  мощностях):</t>
    </r>
  </si>
  <si>
    <r>
      <t xml:space="preserve">III. Оценка влияния на показатели ГП </t>
    </r>
    <r>
      <rPr>
        <sz val="20"/>
        <color rgb="FF0070C0"/>
        <rFont val="Calibri"/>
        <family val="2"/>
        <charset val="204"/>
        <scheme val="minor"/>
      </rPr>
      <t xml:space="preserve">
(оценка влияния реализации инвестиционного проекта на достижение  показателей  структурных  элементов  государственной  программы Российской  Федерации  (федерального  проекта или ведомственного проекта) и (или) федеральной целевой программы):</t>
    </r>
  </si>
  <si>
    <t>Расчет оценки эффективности в соответствии с методикой, утвержденной приказом МЭР 
от 21.02.2024 № 108</t>
  </si>
  <si>
    <t>нет</t>
  </si>
  <si>
    <t>да</t>
  </si>
  <si>
    <t>не применимо</t>
  </si>
  <si>
    <t>6. Представлено обоснование целесообразности включения инвестиционного проекта в структурный элемент ГП</t>
  </si>
  <si>
    <r>
      <t>6. Мощность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>(указать наименование и единицу измерения)</t>
    </r>
  </si>
  <si>
    <t>указывается потребность:</t>
  </si>
  <si>
    <r>
      <t>1. Предполагаемая предельная (или сметная) стоимость объекта составляет 
3 млрд рублей и более, при этом по нему не принято решение о реализации</t>
    </r>
    <r>
      <rPr>
        <sz val="11"/>
        <color rgb="FF00B0F0"/>
        <rFont val="Calibri"/>
        <family val="2"/>
        <charset val="204"/>
        <scheme val="minor"/>
      </rPr>
      <t xml:space="preserve">, </t>
    </r>
    <r>
      <rPr>
        <sz val="11"/>
        <color theme="1"/>
        <rFont val="Calibri"/>
        <family val="2"/>
        <charset val="204"/>
        <scheme val="minor"/>
      </rPr>
      <t>либо предполагается внесение изменений в принятое решение, в результате которого мощность объекта увеличится более чем на 30%</t>
    </r>
    <r>
      <rPr>
        <sz val="11"/>
        <color theme="1"/>
        <rFont val="Calibri"/>
        <family val="2"/>
        <charset val="204"/>
        <scheme val="minor"/>
      </rPr>
      <t xml:space="preserve">  по сравнению с первоначально утвержденной</t>
    </r>
  </si>
  <si>
    <t>Результат оценки потребности в создаваемых мощностях</t>
  </si>
  <si>
    <r>
      <t>2. Обеспеченность населения определенным видом объектов с учетом отраслевых нормативов (</t>
    </r>
    <r>
      <rPr>
        <b/>
        <sz val="14"/>
        <color rgb="FFFF0000"/>
        <rFont val="Calibri"/>
        <family val="2"/>
        <charset val="204"/>
        <scheme val="minor"/>
      </rPr>
      <t>для объектов социальной сферы</t>
    </r>
    <r>
      <rPr>
        <b/>
        <sz val="14"/>
        <rFont val="Calibri"/>
        <family val="2"/>
        <charset val="204"/>
        <scheme val="minor"/>
      </rPr>
      <t xml:space="preserve">)* </t>
    </r>
  </si>
  <si>
    <r>
      <t>3. Отсутствие в достаточном объеме замещающей продукции (работ и услуг), производимой иными организациями
(</t>
    </r>
    <r>
      <rPr>
        <b/>
        <sz val="14"/>
        <color rgb="FFFF0000"/>
        <rFont val="Calibri"/>
        <family val="2"/>
        <charset val="204"/>
        <scheme val="minor"/>
      </rPr>
      <t>для производственных объектов</t>
    </r>
    <r>
      <rPr>
        <b/>
        <sz val="14"/>
        <rFont val="Calibri"/>
        <family val="2"/>
        <charset val="204"/>
        <scheme val="minor"/>
      </rPr>
      <t>)*</t>
    </r>
  </si>
  <si>
    <t>дополнительные строки заполняются в случае, если мощность объекта характеризуется несколькими единицами измерения, отражающими различные и не сопоставимые параметры объекта</t>
  </si>
  <si>
    <t>1.13. Отношение мощности объекта, необходимой для обеспечения выявленной потребности в продукции (услугах), к мощности создаваемого (реконструируемого, приобретаемого) объекта, выраженное в %, составляет:</t>
  </si>
  <si>
    <t>дополнительные строки заполнятся в случае, если мощность объекта характеризуется несколькими единицами измерения, отражающими различные и не сопоставимые параметры объекта</t>
  </si>
  <si>
    <t>1.1. Цель реализации инвестиционного проекта четко сформулирована, непосредственные результаты и конечные эффекты его реализации имеют числовое выражение и подтверждены расчетами, проблема, на решение котрой направлена реализация инвестиционного проекта, описана и оцифрована</t>
  </si>
  <si>
    <t>Итоговый балл по обоснованию мощности</t>
  </si>
  <si>
    <t>Балл по обоснованию мощности:</t>
  </si>
  <si>
    <t xml:space="preserve">1.3. Представлена информация о влиянии инвестпроекта на социально-экономическое развитие опорных населенных пунктов. </t>
  </si>
  <si>
    <t>**Информация заполняется только в одном из разделов</t>
  </si>
  <si>
    <r>
      <t xml:space="preserve">*Информация заполняется только </t>
    </r>
    <r>
      <rPr>
        <b/>
        <u/>
        <sz val="11"/>
        <color rgb="FFFF0000"/>
        <rFont val="Calibri"/>
        <family val="2"/>
        <charset val="204"/>
        <scheme val="minor"/>
      </rPr>
      <t>по одному из подкритериев</t>
    </r>
    <r>
      <rPr>
        <b/>
        <sz val="11"/>
        <color rgb="FFFF0000"/>
        <rFont val="Calibri"/>
        <family val="2"/>
        <charset val="204"/>
        <scheme val="minor"/>
      </rPr>
      <t xml:space="preserve"> 2 и 3, либо не заполняется вообще (если объект не относится к социальной и производственной сферам)</t>
    </r>
  </si>
  <si>
    <t>кв. м</t>
  </si>
  <si>
    <r>
      <t xml:space="preserve">Для инвестиционных проектов, реализуемых </t>
    </r>
    <r>
      <rPr>
        <b/>
        <sz val="14"/>
        <color rgb="FFFF0000"/>
        <rFont val="Calibri"/>
        <family val="2"/>
        <charset val="204"/>
        <scheme val="minor"/>
      </rPr>
      <t>вне рамок государственных программ</t>
    </r>
    <r>
      <rPr>
        <b/>
        <sz val="14"/>
        <color rgb="FF0070C0"/>
        <rFont val="Calibri"/>
        <family val="2"/>
        <charset val="204"/>
        <scheme val="minor"/>
      </rPr>
      <t xml:space="preserve"> Российской Федерации и (или) федеральных целевых программ**</t>
    </r>
  </si>
  <si>
    <r>
      <t xml:space="preserve">Для инвестиционных проектов в отношении </t>
    </r>
    <r>
      <rPr>
        <b/>
        <sz val="14"/>
        <color rgb="FFFF0000"/>
        <rFont val="Calibri"/>
        <family val="2"/>
        <charset val="204"/>
        <scheme val="minor"/>
      </rPr>
      <t>объектов обороны страны, правоохранительной деятельности и безопасности государства</t>
    </r>
    <r>
      <rPr>
        <b/>
        <sz val="14"/>
        <color rgb="FF0070C0"/>
        <rFont val="Calibri"/>
        <family val="2"/>
        <charset val="204"/>
        <scheme val="minor"/>
      </rPr>
      <t>, реализуемых вне рамок государственных программ Российской Федерации и (или) федеральных целевых программ**</t>
    </r>
  </si>
  <si>
    <r>
      <t xml:space="preserve">Для проектов, </t>
    </r>
    <r>
      <rPr>
        <b/>
        <sz val="14"/>
        <color rgb="FFFF0000"/>
        <rFont val="Calibri"/>
        <family val="2"/>
        <charset val="204"/>
        <scheme val="minor"/>
      </rPr>
      <t>уже учтеных</t>
    </r>
    <r>
      <rPr>
        <b/>
        <sz val="14"/>
        <color theme="1"/>
        <rFont val="Calibri"/>
        <family val="2"/>
        <charset val="204"/>
        <scheme val="minor"/>
      </rPr>
      <t xml:space="preserve"> (или заменяющих учтенный) </t>
    </r>
    <r>
      <rPr>
        <b/>
        <sz val="14"/>
        <color rgb="FFFF0000"/>
        <rFont val="Calibri"/>
        <family val="2"/>
        <charset val="204"/>
        <scheme val="minor"/>
      </rPr>
      <t>в составе структурного элемента ГП</t>
    </r>
    <r>
      <rPr>
        <b/>
        <sz val="14"/>
        <color theme="1"/>
        <rFont val="Calibri"/>
        <family val="2"/>
        <charset val="204"/>
        <scheme val="minor"/>
      </rPr>
      <t>**:</t>
    </r>
  </si>
  <si>
    <r>
      <t xml:space="preserve">Для проектов, </t>
    </r>
    <r>
      <rPr>
        <b/>
        <sz val="14"/>
        <color rgb="FFFF0000"/>
        <rFont val="Calibri"/>
        <family val="2"/>
        <charset val="204"/>
        <scheme val="minor"/>
      </rPr>
      <t>только предлагаемых к включению</t>
    </r>
    <r>
      <rPr>
        <b/>
        <sz val="14"/>
        <color theme="1"/>
        <rFont val="Calibri"/>
        <family val="2"/>
        <charset val="204"/>
        <scheme val="minor"/>
      </rPr>
      <t xml:space="preserve"> </t>
    </r>
    <r>
      <rPr>
        <b/>
        <sz val="14"/>
        <color rgb="FFFF0000"/>
        <rFont val="Calibri"/>
        <family val="2"/>
        <charset val="204"/>
        <scheme val="minor"/>
      </rPr>
      <t>в состав структурного элемента ГП</t>
    </r>
    <r>
      <rPr>
        <b/>
        <sz val="14"/>
        <color theme="1"/>
        <rFont val="Calibri"/>
        <family val="2"/>
        <charset val="204"/>
        <scheme val="minor"/>
      </rPr>
      <t>**:</t>
    </r>
  </si>
  <si>
    <r>
      <rPr>
        <b/>
        <sz val="11"/>
        <color rgb="FFFF0000"/>
        <rFont val="Calibri"/>
        <family val="2"/>
        <charset val="204"/>
        <scheme val="minor"/>
      </rPr>
      <t>необходимо выбрать один из предложенных вариантов</t>
    </r>
    <r>
      <rPr>
        <sz val="11"/>
        <rFont val="Calibri"/>
        <family val="2"/>
        <charset val="204"/>
        <scheme val="minor"/>
      </rPr>
      <t xml:space="preserve"> и указать соответствующий ему балл:
достигается положительная динамика и обоснована целесообразность данного улучшения значений показателя - 1 балл
достигается положительная динамика и обоснована целесообразность данного улучшения , но есть инвестпроект, за счет реализации которого достигается лучшая динамика -  0,5 балла
нет положительной динамики, целесообразность улучшения не обоснована - 0 баллов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</si>
</sst>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3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rgb="FF0077C8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i/>
      <sz val="11"/>
      <color rgb="FF0070C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color rgb="FF0070C0"/>
      <name val="Calibri"/>
      <family val="2"/>
      <charset val="204"/>
      <scheme val="minor"/>
    </font>
    <font>
      <b/>
      <sz val="20"/>
      <color rgb="FF0070C0"/>
      <name val="Calibri"/>
      <family val="2"/>
      <charset val="204"/>
      <scheme val="minor"/>
    </font>
    <font>
      <b/>
      <sz val="24"/>
      <color rgb="FF0070C0"/>
      <name val="Calibri"/>
      <family val="2"/>
      <charset val="204"/>
      <scheme val="minor"/>
    </font>
    <font>
      <sz val="20"/>
      <color rgb="FF0070C0"/>
      <name val="Calibri"/>
      <family val="2"/>
      <charset val="204"/>
      <scheme val="minor"/>
    </font>
    <font>
      <b/>
      <sz val="20"/>
      <color rgb="FF0077C8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i/>
      <sz val="14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i/>
      <sz val="20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i/>
      <sz val="11"/>
      <color rgb="FFFF00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9"/>
      <color indexed="81"/>
      <name val="Tahoma"/>
      <charset val="1"/>
    </font>
    <font>
      <b/>
      <i/>
      <sz val="11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0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164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8" fillId="4" borderId="0" xfId="0" applyFont="1" applyFill="1" applyBorder="1" applyAlignment="1">
      <alignment horizontal="left" vertical="center" wrapText="1"/>
    </xf>
    <xf numFmtId="0" fontId="18" fillId="4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4" borderId="0" xfId="0" applyFont="1" applyFill="1" applyAlignment="1">
      <alignment vertical="center" wrapText="1"/>
    </xf>
    <xf numFmtId="0" fontId="20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2" fillId="4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left" vertical="center" wrapText="1" indent="3"/>
    </xf>
    <xf numFmtId="0" fontId="10" fillId="4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 indent="1"/>
    </xf>
    <xf numFmtId="2" fontId="0" fillId="2" borderId="1" xfId="0" applyNumberForma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left" vertical="center" wrapText="1" indent="1"/>
    </xf>
    <xf numFmtId="0" fontId="0" fillId="4" borderId="1" xfId="0" applyFont="1" applyFill="1" applyBorder="1" applyAlignment="1">
      <alignment horizontal="center" vertical="center" wrapText="1"/>
    </xf>
    <xf numFmtId="165" fontId="0" fillId="4" borderId="3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9" fillId="5" borderId="1" xfId="0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30" fillId="0" borderId="0" xfId="0" applyNumberFormat="1" applyFont="1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29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0" fillId="6" borderId="1" xfId="0" applyNumberFormat="1" applyFont="1" applyFill="1" applyBorder="1" applyAlignment="1">
      <alignment horizontal="center" vertical="center" wrapText="1"/>
    </xf>
    <xf numFmtId="165" fontId="0" fillId="8" borderId="1" xfId="0" applyNumberFormat="1" applyFont="1" applyFill="1" applyBorder="1" applyAlignment="1">
      <alignment horizontal="center" vertical="center" wrapText="1"/>
    </xf>
    <xf numFmtId="165" fontId="0" fillId="4" borderId="1" xfId="0" applyNumberFormat="1" applyFont="1" applyFill="1" applyBorder="1" applyAlignment="1">
      <alignment horizontal="center" vertical="center" wrapText="1"/>
    </xf>
    <xf numFmtId="165" fontId="0" fillId="8" borderId="3" xfId="0" applyNumberFormat="1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165" fontId="10" fillId="7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26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16" fillId="0" borderId="0" xfId="0" applyFont="1" applyFill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0" fillId="0" borderId="8" xfId="0" applyFont="1" applyBorder="1" applyAlignment="1">
      <alignment horizontal="right" vertical="center" wrapText="1"/>
    </xf>
    <xf numFmtId="0" fontId="0" fillId="0" borderId="11" xfId="0" applyFont="1" applyBorder="1" applyAlignment="1">
      <alignment horizontal="right" vertical="center" wrapText="1"/>
    </xf>
    <xf numFmtId="0" fontId="0" fillId="0" borderId="4" xfId="0" applyFont="1" applyBorder="1" applyAlignment="1">
      <alignment horizontal="right" vertical="center" wrapText="1"/>
    </xf>
    <xf numFmtId="0" fontId="0" fillId="0" borderId="9" xfId="0" applyFont="1" applyBorder="1" applyAlignment="1">
      <alignment horizontal="right" vertical="center" wrapText="1"/>
    </xf>
    <xf numFmtId="0" fontId="0" fillId="0" borderId="10" xfId="0" applyFont="1" applyBorder="1" applyAlignment="1">
      <alignment horizontal="right" vertical="center" wrapText="1"/>
    </xf>
    <xf numFmtId="0" fontId="15" fillId="0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left" vertical="center" wrapText="1" indent="1"/>
    </xf>
    <xf numFmtId="0" fontId="34" fillId="0" borderId="2" xfId="0" applyFont="1" applyBorder="1" applyAlignment="1">
      <alignment horizontal="right" vertical="center" wrapText="1"/>
    </xf>
    <xf numFmtId="0" fontId="34" fillId="0" borderId="12" xfId="0" applyFont="1" applyBorder="1" applyAlignment="1">
      <alignment horizontal="right" vertical="center" wrapText="1"/>
    </xf>
    <xf numFmtId="0" fontId="34" fillId="0" borderId="3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8" fillId="4" borderId="0" xfId="0" applyFont="1" applyFill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15"/>
  <sheetViews>
    <sheetView tabSelected="1" zoomScale="90" zoomScaleNormal="90" workbookViewId="0">
      <selection activeCell="B76" sqref="B76"/>
    </sheetView>
  </sheetViews>
  <sheetFormatPr defaultRowHeight="15" x14ac:dyDescent="0.25"/>
  <cols>
    <col min="1" max="1" width="72.42578125" style="2" customWidth="1"/>
    <col min="2" max="2" width="16.7109375" style="6" customWidth="1"/>
    <col min="3" max="3" width="69.85546875" style="4" customWidth="1"/>
    <col min="4" max="4" width="9.140625" style="2"/>
    <col min="5" max="5" width="55.5703125" style="2" customWidth="1"/>
    <col min="6" max="6" width="30.5703125" style="2" hidden="1" customWidth="1"/>
    <col min="7" max="7" width="35.28515625" style="58" hidden="1" customWidth="1"/>
    <col min="8" max="8" width="30.85546875" style="60" hidden="1" customWidth="1"/>
    <col min="9" max="9" width="8.7109375" style="2" customWidth="1"/>
    <col min="10" max="16384" width="9.140625" style="2"/>
  </cols>
  <sheetData>
    <row r="1" spans="1:25" ht="57.75" customHeight="1" x14ac:dyDescent="0.25">
      <c r="A1" s="82" t="s">
        <v>64</v>
      </c>
      <c r="B1" s="82"/>
      <c r="C1" s="82"/>
      <c r="D1" s="1"/>
      <c r="E1" s="1"/>
      <c r="F1" s="1"/>
      <c r="G1" s="57"/>
      <c r="H1" s="5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57.75" customHeight="1" x14ac:dyDescent="0.25">
      <c r="A2" s="85" t="s">
        <v>39</v>
      </c>
      <c r="B2" s="85"/>
      <c r="C2" s="85"/>
      <c r="D2" s="1"/>
      <c r="E2" s="1"/>
      <c r="F2" s="1"/>
      <c r="G2" s="57"/>
      <c r="H2" s="5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57.75" customHeight="1" x14ac:dyDescent="0.25">
      <c r="A3" s="74" t="s">
        <v>40</v>
      </c>
      <c r="B3" s="74"/>
      <c r="C3" s="34"/>
      <c r="D3" s="1"/>
      <c r="E3" s="1"/>
      <c r="F3" s="1"/>
      <c r="G3" s="57"/>
      <c r="H3" s="5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 x14ac:dyDescent="0.25">
      <c r="A4" s="74" t="s">
        <v>41</v>
      </c>
      <c r="B4" s="74"/>
      <c r="C4" s="35"/>
      <c r="D4" s="1"/>
      <c r="E4" s="1"/>
      <c r="F4" s="1"/>
      <c r="G4" s="57"/>
      <c r="H4" s="5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 x14ac:dyDescent="0.25">
      <c r="A5" s="74" t="s">
        <v>42</v>
      </c>
      <c r="B5" s="74"/>
      <c r="C5" s="34"/>
      <c r="D5" s="1"/>
      <c r="E5" s="1"/>
      <c r="F5" s="1"/>
      <c r="G5" s="57"/>
      <c r="H5" s="5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0" customHeight="1" x14ac:dyDescent="0.25">
      <c r="A6" s="74" t="s">
        <v>43</v>
      </c>
      <c r="B6" s="74"/>
      <c r="C6" s="34"/>
      <c r="D6" s="1"/>
      <c r="E6" s="1"/>
      <c r="F6" s="1"/>
      <c r="G6" s="57"/>
      <c r="H6" s="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0" customHeight="1" x14ac:dyDescent="0.25">
      <c r="A7" s="74" t="s">
        <v>44</v>
      </c>
      <c r="B7" s="74"/>
      <c r="C7" s="34"/>
      <c r="D7" s="1"/>
      <c r="E7" s="1"/>
      <c r="F7" s="1"/>
      <c r="G7" s="57"/>
      <c r="H7" s="5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0" customHeight="1" x14ac:dyDescent="0.25">
      <c r="A8" s="74" t="s">
        <v>69</v>
      </c>
      <c r="B8" s="74"/>
      <c r="C8" s="70">
        <v>8000</v>
      </c>
      <c r="D8" s="64" t="s">
        <v>84</v>
      </c>
      <c r="E8" s="1"/>
      <c r="F8" s="1"/>
      <c r="G8" s="57"/>
      <c r="H8" s="5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0" customHeight="1" x14ac:dyDescent="0.25">
      <c r="A9" s="76" t="s">
        <v>75</v>
      </c>
      <c r="B9" s="77"/>
      <c r="C9" s="71"/>
      <c r="D9" s="64"/>
      <c r="E9" s="1"/>
      <c r="F9" s="1"/>
      <c r="G9" s="57"/>
      <c r="H9" s="5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0" customHeight="1" x14ac:dyDescent="0.25">
      <c r="A10" s="78"/>
      <c r="B10" s="79"/>
      <c r="C10" s="71"/>
      <c r="D10" s="64"/>
      <c r="E10" s="1"/>
      <c r="F10" s="1"/>
      <c r="G10" s="57"/>
      <c r="H10" s="5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0" customHeight="1" x14ac:dyDescent="0.25">
      <c r="A11" s="80"/>
      <c r="B11" s="81"/>
      <c r="C11" s="71"/>
      <c r="D11" s="64"/>
      <c r="E11" s="1"/>
      <c r="F11" s="1"/>
      <c r="G11" s="57"/>
      <c r="H11" s="5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43.5" customHeight="1" x14ac:dyDescent="0.25">
      <c r="A12" s="74" t="s">
        <v>45</v>
      </c>
      <c r="B12" s="74"/>
      <c r="C12" s="34"/>
      <c r="D12" s="1"/>
      <c r="E12" s="1"/>
      <c r="F12" s="1"/>
      <c r="G12" s="57"/>
      <c r="H12" s="5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43.5" customHeight="1" x14ac:dyDescent="0.25">
      <c r="A13" s="74" t="s">
        <v>46</v>
      </c>
      <c r="B13" s="74"/>
      <c r="C13" s="34"/>
      <c r="D13" s="1"/>
      <c r="E13" s="1"/>
      <c r="F13" s="1"/>
      <c r="G13" s="57"/>
      <c r="H13" s="5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6.75" customHeight="1" x14ac:dyDescent="0.25">
      <c r="A14" s="87" t="s">
        <v>8</v>
      </c>
      <c r="B14" s="87"/>
      <c r="C14" s="87"/>
      <c r="D14" s="1"/>
      <c r="E14" s="1"/>
      <c r="F14" s="1"/>
      <c r="G14" s="57"/>
      <c r="H14" s="5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81.75" customHeight="1" x14ac:dyDescent="0.25">
      <c r="A15" s="7" t="s">
        <v>71</v>
      </c>
      <c r="B15" s="46" t="s">
        <v>66</v>
      </c>
      <c r="C15" s="43" t="str">
        <f>IF(B15="нет","проведение оценки эффективности по объекту не требуется"," ")</f>
        <v xml:space="preserve"> </v>
      </c>
      <c r="D15" s="1"/>
      <c r="F15" s="1"/>
      <c r="G15" s="57"/>
      <c r="H15" s="5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72" customHeight="1" x14ac:dyDescent="0.25">
      <c r="A16" s="7" t="s">
        <v>1</v>
      </c>
      <c r="B16" s="46" t="s">
        <v>66</v>
      </c>
      <c r="C16" s="43" t="str">
        <f>IF(B16="нет","материалы требуют доработки"," ")</f>
        <v xml:space="preserve"> </v>
      </c>
      <c r="D16" s="1"/>
      <c r="F16" s="1"/>
      <c r="G16" s="57"/>
      <c r="H16" s="59" t="s">
        <v>66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51.75" customHeight="1" x14ac:dyDescent="0.25">
      <c r="A17" s="7" t="s">
        <v>3</v>
      </c>
      <c r="B17" s="46" t="s">
        <v>66</v>
      </c>
      <c r="C17" s="43" t="str">
        <f>IF(B17="нет","материалы требуют доработки"," ")</f>
        <v xml:space="preserve"> </v>
      </c>
      <c r="D17" s="1"/>
      <c r="F17" s="1"/>
      <c r="G17" s="57"/>
      <c r="H17" s="59" t="s">
        <v>65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60" customHeight="1" x14ac:dyDescent="0.25">
      <c r="A18" s="7" t="s">
        <v>2</v>
      </c>
      <c r="B18" s="46" t="s">
        <v>66</v>
      </c>
      <c r="C18" s="43" t="str">
        <f>IF(B18="нет","материалы, представленные в ненадлежащем порядке, не могут быть приняты к рассмотрению (требуется подписание Сведений руководителем (или уполномоченным им лицом))."," ")</f>
        <v xml:space="preserve"> </v>
      </c>
      <c r="D18" s="1"/>
      <c r="F18" s="1"/>
      <c r="G18" s="57"/>
      <c r="H18" s="59" t="s">
        <v>67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customHeight="1" x14ac:dyDescent="0.25">
      <c r="A19" s="36"/>
      <c r="B19" s="37"/>
      <c r="C19" s="38"/>
    </row>
    <row r="20" spans="1:25" ht="34.5" customHeight="1" x14ac:dyDescent="0.25">
      <c r="A20" s="87" t="s">
        <v>62</v>
      </c>
      <c r="B20" s="87"/>
      <c r="C20" s="87"/>
      <c r="H20" s="60">
        <v>1</v>
      </c>
    </row>
    <row r="21" spans="1:25" ht="16.5" customHeight="1" x14ac:dyDescent="0.25">
      <c r="A21" s="42"/>
      <c r="B21" s="42"/>
      <c r="C21" s="42"/>
      <c r="H21" s="60">
        <v>0.5</v>
      </c>
    </row>
    <row r="22" spans="1:25" ht="34.5" customHeight="1" x14ac:dyDescent="0.25">
      <c r="A22" s="88" t="s">
        <v>72</v>
      </c>
      <c r="B22" s="89"/>
      <c r="C22" s="44">
        <f>IF((C24+C60+C66)/(1+C60+C66)&gt;1,1,(C24+C60+C66)/(1+C60+C66))*OR(IF((C24+C60+C66)/(1+C60+C66)&lt;0,0,(C24+C60+C66)/(1+C60+C66)))</f>
        <v>0</v>
      </c>
      <c r="H22" s="60">
        <v>0</v>
      </c>
    </row>
    <row r="23" spans="1:25" x14ac:dyDescent="0.25">
      <c r="A23" s="22"/>
      <c r="B23" s="37"/>
      <c r="C23" s="38"/>
    </row>
    <row r="24" spans="1:25" ht="44.25" customHeight="1" x14ac:dyDescent="0.25">
      <c r="A24" s="75" t="s">
        <v>0</v>
      </c>
      <c r="B24" s="75"/>
      <c r="C24" s="48">
        <f>IF(C27="по подкритерию выставляется 0 баллов",0,(C28+C30+C32+C54))*OR(IF(C34="по подкритерию выставляется 0 баллов",0,(C28+C30+C32+C54)))*OR(IF(C33="по подкритерию выставляется 0 баллов",0,(C28+C30+C32+C54)))*OR(IF((C28+C30+C32+C54)&gt;1,1,(C28+C30+C32+C54)))*OR(IF((C28+C30+C32+C54)&lt;0,0,(C28+C30+C32+C54)))</f>
        <v>0</v>
      </c>
    </row>
    <row r="25" spans="1:25" ht="36" customHeight="1" x14ac:dyDescent="0.25">
      <c r="A25" s="41"/>
      <c r="B25" s="41"/>
      <c r="C25" s="41"/>
    </row>
    <row r="26" spans="1:25" ht="78" customHeight="1" x14ac:dyDescent="0.25">
      <c r="A26" s="9" t="s">
        <v>78</v>
      </c>
      <c r="B26" s="46" t="s">
        <v>66</v>
      </c>
      <c r="C26" s="43" t="str">
        <f>IF(B26="нет","материалы требуют доработки"," ")</f>
        <v xml:space="preserve"> </v>
      </c>
    </row>
    <row r="27" spans="1:25" ht="48" customHeight="1" x14ac:dyDescent="0.25">
      <c r="A27" s="11" t="s">
        <v>4</v>
      </c>
      <c r="B27" s="46" t="s">
        <v>65</v>
      </c>
      <c r="C27" s="45" t="str">
        <f>IF(B27="да","по подкритерию выставляется 0 баллов"," ")</f>
        <v xml:space="preserve"> </v>
      </c>
      <c r="E27" s="21"/>
      <c r="F27" s="2" t="s">
        <v>59</v>
      </c>
    </row>
    <row r="28" spans="1:25" ht="64.5" customHeight="1" x14ac:dyDescent="0.25">
      <c r="A28" s="18" t="s">
        <v>5</v>
      </c>
      <c r="B28" s="46" t="s">
        <v>66</v>
      </c>
      <c r="C28" s="56">
        <f>IF(B28="нет",-0.2,0)</f>
        <v>0</v>
      </c>
      <c r="E28" s="16"/>
      <c r="F28" s="2" t="s">
        <v>59</v>
      </c>
    </row>
    <row r="29" spans="1:25" ht="90" x14ac:dyDescent="0.25">
      <c r="A29" s="18" t="s">
        <v>19</v>
      </c>
      <c r="B29" s="46" t="s">
        <v>66</v>
      </c>
      <c r="C29" s="43" t="str">
        <f>IF(B29="нет","материалы требуют доработки"," ")</f>
        <v xml:space="preserve"> </v>
      </c>
      <c r="E29" s="16"/>
    </row>
    <row r="30" spans="1:25" ht="60" x14ac:dyDescent="0.25">
      <c r="A30" s="18" t="s">
        <v>30</v>
      </c>
      <c r="B30" s="46" t="s">
        <v>65</v>
      </c>
      <c r="C30" s="56">
        <f>IF(C32=0,IF(B30="да",-0.2,0),0)</f>
        <v>0</v>
      </c>
      <c r="D30" s="22"/>
      <c r="E30" s="16"/>
      <c r="F30" s="2" t="s">
        <v>59</v>
      </c>
    </row>
    <row r="31" spans="1:25" ht="60.75" customHeight="1" x14ac:dyDescent="0.25">
      <c r="A31" s="10" t="s">
        <v>21</v>
      </c>
      <c r="B31" s="46" t="s">
        <v>66</v>
      </c>
      <c r="C31" s="43" t="str">
        <f>IF(B31="нет","материалы требуют доработки"," ")</f>
        <v xml:space="preserve"> </v>
      </c>
      <c r="E31" s="20"/>
    </row>
    <row r="32" spans="1:25" ht="53.25" customHeight="1" x14ac:dyDescent="0.25">
      <c r="A32" s="18" t="s">
        <v>28</v>
      </c>
      <c r="B32" s="46" t="s">
        <v>65</v>
      </c>
      <c r="C32" s="56">
        <f>IF(B32="да",-0.2,0)</f>
        <v>0</v>
      </c>
      <c r="D32" s="22"/>
      <c r="E32" s="16"/>
      <c r="F32" s="19" t="s">
        <v>56</v>
      </c>
      <c r="G32" s="58" t="s">
        <v>57</v>
      </c>
    </row>
    <row r="33" spans="1:6" ht="60" x14ac:dyDescent="0.25">
      <c r="A33" s="11" t="s">
        <v>31</v>
      </c>
      <c r="B33" s="46" t="s">
        <v>65</v>
      </c>
      <c r="C33" s="43" t="str">
        <f>IF(B33="да","по подкритерию выставляется 0 баллов"," ")</f>
        <v xml:space="preserve"> </v>
      </c>
      <c r="E33" s="21"/>
      <c r="F33" s="22" t="s">
        <v>58</v>
      </c>
    </row>
    <row r="34" spans="1:6" ht="44.25" customHeight="1" x14ac:dyDescent="0.25">
      <c r="A34" s="11" t="s">
        <v>24</v>
      </c>
      <c r="B34" s="46" t="s">
        <v>65</v>
      </c>
      <c r="C34" s="43" t="str">
        <f>IF(B34="да","по подкритерию выставляется 0 баллов"," ")</f>
        <v xml:space="preserve"> </v>
      </c>
      <c r="E34" s="21"/>
      <c r="F34" s="22" t="s">
        <v>58</v>
      </c>
    </row>
    <row r="35" spans="1:6" ht="75" x14ac:dyDescent="0.25">
      <c r="A35" s="10" t="s">
        <v>25</v>
      </c>
      <c r="B35" s="46" t="s">
        <v>66</v>
      </c>
      <c r="C35" s="43" t="str">
        <f>IF(B35="нет","материалы требуют доработки"," ")</f>
        <v xml:space="preserve"> </v>
      </c>
    </row>
    <row r="36" spans="1:6" ht="60" x14ac:dyDescent="0.25">
      <c r="A36" s="10" t="s">
        <v>26</v>
      </c>
      <c r="B36" s="46" t="s">
        <v>66</v>
      </c>
      <c r="C36" s="43" t="str">
        <f>IF(B36="нет","материалы требуют доработки"," ")</f>
        <v xml:space="preserve"> </v>
      </c>
    </row>
    <row r="37" spans="1:6" ht="54.75" customHeight="1" x14ac:dyDescent="0.25">
      <c r="A37" s="10" t="s">
        <v>27</v>
      </c>
      <c r="B37" s="46" t="s">
        <v>66</v>
      </c>
      <c r="C37" s="43" t="str">
        <f>IF(B37="нет","материалы требуют доработки"," ")</f>
        <v xml:space="preserve"> </v>
      </c>
    </row>
    <row r="38" spans="1:6" ht="60" customHeight="1" x14ac:dyDescent="0.25">
      <c r="A38" s="12" t="s">
        <v>76</v>
      </c>
      <c r="B38" s="66">
        <f>B42/B46*100</f>
        <v>0</v>
      </c>
      <c r="C38" s="49"/>
      <c r="E38" s="14"/>
      <c r="F38" s="15"/>
    </row>
    <row r="39" spans="1:6" ht="27" customHeight="1" x14ac:dyDescent="0.25">
      <c r="A39" s="94" t="s">
        <v>77</v>
      </c>
      <c r="B39" s="67">
        <f>IF(B43&gt;0,(B43/B47*100),0)</f>
        <v>0</v>
      </c>
      <c r="C39" s="49"/>
      <c r="E39" s="14"/>
      <c r="F39" s="15"/>
    </row>
    <row r="40" spans="1:6" ht="27" customHeight="1" x14ac:dyDescent="0.25">
      <c r="A40" s="95"/>
      <c r="B40" s="67">
        <f>IF(B44&gt;0,(B44/B48*100),0)</f>
        <v>0</v>
      </c>
      <c r="C40" s="49"/>
      <c r="E40" s="14"/>
      <c r="F40" s="15"/>
    </row>
    <row r="41" spans="1:6" ht="27" customHeight="1" x14ac:dyDescent="0.25">
      <c r="A41" s="96"/>
      <c r="B41" s="67">
        <f>IF(B45&gt;0,(B45/B49*100),0)</f>
        <v>0</v>
      </c>
      <c r="C41" s="49"/>
      <c r="E41" s="14"/>
      <c r="F41" s="15"/>
    </row>
    <row r="42" spans="1:6" ht="27" customHeight="1" x14ac:dyDescent="0.25">
      <c r="A42" s="72" t="s">
        <v>70</v>
      </c>
      <c r="B42" s="68"/>
      <c r="C42" s="49"/>
      <c r="E42" s="14"/>
      <c r="F42" s="15"/>
    </row>
    <row r="43" spans="1:6" ht="27" customHeight="1" x14ac:dyDescent="0.25">
      <c r="A43" s="91" t="s">
        <v>77</v>
      </c>
      <c r="B43" s="67"/>
      <c r="C43" s="49"/>
      <c r="E43" s="14"/>
      <c r="F43" s="15"/>
    </row>
    <row r="44" spans="1:6" ht="27" customHeight="1" x14ac:dyDescent="0.25">
      <c r="A44" s="92"/>
      <c r="B44" s="67"/>
      <c r="C44" s="49"/>
      <c r="E44" s="14"/>
      <c r="F44" s="15"/>
    </row>
    <row r="45" spans="1:6" ht="27" customHeight="1" x14ac:dyDescent="0.25">
      <c r="A45" s="93"/>
      <c r="B45" s="67"/>
      <c r="C45" s="49"/>
      <c r="E45" s="14"/>
      <c r="F45" s="15"/>
    </row>
    <row r="46" spans="1:6" ht="27" customHeight="1" x14ac:dyDescent="0.25">
      <c r="A46" s="61" t="s">
        <v>60</v>
      </c>
      <c r="B46" s="68">
        <f>C8</f>
        <v>8000</v>
      </c>
      <c r="C46" s="50"/>
      <c r="F46" s="6"/>
    </row>
    <row r="47" spans="1:6" ht="27" customHeight="1" x14ac:dyDescent="0.25">
      <c r="A47" s="94" t="s">
        <v>77</v>
      </c>
      <c r="B47" s="69">
        <f>C9</f>
        <v>0</v>
      </c>
      <c r="C47" s="50"/>
      <c r="F47" s="6"/>
    </row>
    <row r="48" spans="1:6" ht="27" customHeight="1" x14ac:dyDescent="0.25">
      <c r="A48" s="95"/>
      <c r="B48" s="69">
        <f t="shared" ref="B48:B49" si="0">C10</f>
        <v>0</v>
      </c>
      <c r="C48" s="50"/>
      <c r="F48" s="6"/>
    </row>
    <row r="49" spans="1:7" ht="27" customHeight="1" x14ac:dyDescent="0.25">
      <c r="A49" s="96"/>
      <c r="B49" s="69">
        <f t="shared" si="0"/>
        <v>0</v>
      </c>
      <c r="C49" s="50"/>
      <c r="F49" s="6"/>
    </row>
    <row r="50" spans="1:7" ht="30" customHeight="1" x14ac:dyDescent="0.25">
      <c r="A50" s="61" t="s">
        <v>80</v>
      </c>
      <c r="B50" s="47"/>
      <c r="C50" s="54">
        <f>IF(AND(B38&gt;=100,C28=0),1,IF(AND(B38&gt;=100,C28=-0.2),0.8,IF(AND(B38&gt;=75,B38&lt;100,C28=0),0.6,IF(AND(B38&gt;=75,B38&lt;100,C28=-0.2),0.4,IF(OR(B38&lt;75,C30=-0.2,C27="по подкритерию выставляется 0 баллов"),0,"ошибка")))))</f>
        <v>0</v>
      </c>
      <c r="F50" s="6"/>
    </row>
    <row r="51" spans="1:7" ht="27" customHeight="1" x14ac:dyDescent="0.25">
      <c r="A51" s="94" t="s">
        <v>77</v>
      </c>
      <c r="B51" s="47"/>
      <c r="C51" s="54">
        <f>IF(AND(B39&gt;=100,C28=0),1,IF(AND(B39&gt;=100,C28=-0.2),0.8,IF(AND(B39&gt;=75,B39&lt;100,C28=0),0.6,IF(AND(B39&gt;=75,B39&lt;100,C28=-0.2),0.4,IF(OR(B39&lt;75,C30=-0.2,C27="по подкритерию выставляется 0 баллов"),0,"ошибка")))))</f>
        <v>0</v>
      </c>
      <c r="F51" s="6"/>
    </row>
    <row r="52" spans="1:7" ht="27" customHeight="1" x14ac:dyDescent="0.25">
      <c r="A52" s="95"/>
      <c r="B52" s="47"/>
      <c r="C52" s="54">
        <f>IF(AND(B40&gt;=100,C28=0),1,IF(AND(B40&gt;=100,C28=-0.2),0.8,IF(AND(B40&gt;=75,B40&lt;100,C28=0),0.6,IF(AND(B40&gt;=75,B40&lt;100,C28=-0.2),0.4,IF(OR(B40&lt;75,C28=-0.2,C27="по подкритерию выставляется 0 баллов"),0,"ошибка")))))</f>
        <v>0</v>
      </c>
      <c r="F52" s="6"/>
    </row>
    <row r="53" spans="1:7" ht="27" customHeight="1" x14ac:dyDescent="0.25">
      <c r="A53" s="96"/>
      <c r="B53" s="47"/>
      <c r="C53" s="54">
        <f>IF(AND(B41&gt;=100,C28=0),1,IF(AND(B41&gt;=100,C28=-0.2),0.8,IF(AND(B41&gt;=75,B41&lt;100,C28=0),0.6,IF(AND(B41&gt;=75,B41&lt;100,C28=-0.2),0.4,IF(OR(B41&lt;75,C28=-0.2,C27="по подкритерию выставляется 0 баллов"),0,"ошибка")))))</f>
        <v>0</v>
      </c>
      <c r="F53" s="6"/>
    </row>
    <row r="54" spans="1:7" ht="27" customHeight="1" x14ac:dyDescent="0.25">
      <c r="A54" s="51" t="s">
        <v>79</v>
      </c>
      <c r="B54" s="47"/>
      <c r="C54" s="65">
        <f>IF(AND(B47=0,B48=0,B49=0),C50,IF(AND(B47&gt;0,B48=0,B49=0),((C50+C51)/2),IF(AND(B47&gt;0,B48&gt;0,B49=0),((C50+C51+C52)/3),IF(AND(B47&gt;0,B48&gt;0,B49&gt;0),AVERAGE(C50:C53),"ошибка"))))</f>
        <v>0</v>
      </c>
      <c r="F54" s="6"/>
    </row>
    <row r="55" spans="1:7" ht="60" x14ac:dyDescent="0.25">
      <c r="A55" s="10" t="s">
        <v>32</v>
      </c>
      <c r="B55" s="46" t="s">
        <v>66</v>
      </c>
      <c r="C55" s="43" t="str">
        <f>IF(B55="нет","рекомендуется сосредоточиться на реализации инвестиционных проектов в первую очередь в тех субъектах РФ, по которым наблюдается уровень обеспечености ниже среднего уровня по России"," ")</f>
        <v xml:space="preserve"> </v>
      </c>
    </row>
    <row r="56" spans="1:7" ht="18.75" x14ac:dyDescent="0.25">
      <c r="A56" s="23"/>
      <c r="B56" s="24"/>
      <c r="C56" s="25"/>
    </row>
    <row r="57" spans="1:7" ht="45.75" customHeight="1" x14ac:dyDescent="0.25">
      <c r="A57" s="84" t="s">
        <v>73</v>
      </c>
      <c r="B57" s="84"/>
      <c r="C57" s="84"/>
      <c r="E57" s="98" t="s">
        <v>83</v>
      </c>
      <c r="F57" s="98"/>
      <c r="G57" s="98"/>
    </row>
    <row r="58" spans="1:7" ht="24.75" customHeight="1" x14ac:dyDescent="0.25">
      <c r="A58" s="40"/>
      <c r="B58" s="40"/>
      <c r="C58" s="40"/>
      <c r="E58" s="98"/>
      <c r="F58" s="98"/>
      <c r="G58" s="98"/>
    </row>
    <row r="59" spans="1:7" ht="60" x14ac:dyDescent="0.25">
      <c r="A59" s="10" t="s">
        <v>7</v>
      </c>
      <c r="B59" s="46" t="s">
        <v>66</v>
      </c>
      <c r="C59" s="43" t="str">
        <f>IF(B59="нет","материалы требуют доработки"," ")</f>
        <v xml:space="preserve"> </v>
      </c>
    </row>
    <row r="60" spans="1:7" ht="39" customHeight="1" x14ac:dyDescent="0.25">
      <c r="A60" s="10" t="s">
        <v>22</v>
      </c>
      <c r="B60" s="46" t="s">
        <v>67</v>
      </c>
      <c r="C60" s="55">
        <f>IF(B60="да",1,0)</f>
        <v>0</v>
      </c>
      <c r="F60" s="19" t="s">
        <v>55</v>
      </c>
      <c r="G60" s="58" t="s">
        <v>54</v>
      </c>
    </row>
    <row r="61" spans="1:7" ht="18.75" x14ac:dyDescent="0.25">
      <c r="A61" s="23"/>
      <c r="B61" s="24"/>
      <c r="C61" s="25"/>
    </row>
    <row r="62" spans="1:7" ht="65.25" customHeight="1" x14ac:dyDescent="0.25">
      <c r="A62" s="84" t="s">
        <v>74</v>
      </c>
      <c r="B62" s="84"/>
      <c r="C62" s="84"/>
      <c r="E62" s="63" t="s">
        <v>83</v>
      </c>
      <c r="F62" s="62"/>
      <c r="G62" s="62"/>
    </row>
    <row r="63" spans="1:7" ht="75" x14ac:dyDescent="0.25">
      <c r="A63" s="10" t="s">
        <v>20</v>
      </c>
      <c r="B63" s="46" t="s">
        <v>66</v>
      </c>
      <c r="C63" s="43" t="str">
        <f>IF(B63="нет","материалы требуют доработки"," ")</f>
        <v xml:space="preserve"> </v>
      </c>
      <c r="E63" s="62"/>
      <c r="F63" s="62"/>
      <c r="G63" s="62"/>
    </row>
    <row r="64" spans="1:7" ht="50.25" customHeight="1" x14ac:dyDescent="0.25">
      <c r="A64" s="10" t="s">
        <v>33</v>
      </c>
      <c r="B64" s="46" t="s">
        <v>66</v>
      </c>
      <c r="C64" s="43" t="str">
        <f>IF(B64="нет","материалы требуют доработки"," ")</f>
        <v xml:space="preserve"> </v>
      </c>
    </row>
    <row r="65" spans="1:7" ht="93.75" customHeight="1" x14ac:dyDescent="0.25">
      <c r="A65" s="12" t="s">
        <v>23</v>
      </c>
      <c r="B65" s="46" t="s">
        <v>66</v>
      </c>
      <c r="C65" s="43" t="str">
        <f>IF(B65="нет","материалы требуют доработки"," ")</f>
        <v xml:space="preserve"> </v>
      </c>
    </row>
    <row r="66" spans="1:7" ht="43.5" customHeight="1" x14ac:dyDescent="0.25">
      <c r="A66" s="12" t="s">
        <v>6</v>
      </c>
      <c r="B66" s="46" t="s">
        <v>67</v>
      </c>
      <c r="C66" s="55">
        <f>IF(B66="да",1,0)</f>
        <v>0</v>
      </c>
      <c r="F66" s="19" t="s">
        <v>52</v>
      </c>
      <c r="G66" s="58" t="s">
        <v>53</v>
      </c>
    </row>
    <row r="67" spans="1:7" ht="15" customHeight="1" x14ac:dyDescent="0.25">
      <c r="A67" s="26"/>
      <c r="B67" s="27"/>
      <c r="C67" s="28"/>
    </row>
    <row r="68" spans="1:7" ht="117" customHeight="1" x14ac:dyDescent="0.25">
      <c r="A68" s="86" t="s">
        <v>63</v>
      </c>
      <c r="B68" s="86"/>
      <c r="C68" s="86"/>
    </row>
    <row r="69" spans="1:7" ht="123.75" customHeight="1" x14ac:dyDescent="0.25">
      <c r="A69" s="7" t="s">
        <v>12</v>
      </c>
      <c r="B69" s="46" t="s">
        <v>66</v>
      </c>
      <c r="C69" s="43" t="str">
        <f>IF(B69="нет","материалы требуют доработки"," ")</f>
        <v xml:space="preserve"> </v>
      </c>
    </row>
    <row r="70" spans="1:7" ht="66.75" customHeight="1" x14ac:dyDescent="0.25">
      <c r="A70" s="7" t="s">
        <v>16</v>
      </c>
      <c r="B70" s="46" t="s">
        <v>66</v>
      </c>
      <c r="C70" s="43" t="str">
        <f>IF(B70="нет","материалы требуют доработки"," ")</f>
        <v xml:space="preserve"> </v>
      </c>
    </row>
    <row r="71" spans="1:7" ht="34.5" customHeight="1" x14ac:dyDescent="0.25">
      <c r="A71" s="83" t="s">
        <v>15</v>
      </c>
      <c r="B71" s="83"/>
      <c r="C71" s="83"/>
    </row>
    <row r="72" spans="1:7" ht="15" customHeight="1" x14ac:dyDescent="0.25">
      <c r="A72" s="29"/>
      <c r="B72" s="29"/>
      <c r="C72" s="30"/>
    </row>
    <row r="73" spans="1:7" ht="30" customHeight="1" x14ac:dyDescent="0.25">
      <c r="A73" s="90" t="s">
        <v>87</v>
      </c>
      <c r="B73" s="90"/>
      <c r="C73" s="90"/>
      <c r="E73" s="98" t="s">
        <v>82</v>
      </c>
      <c r="F73" s="98"/>
      <c r="G73" s="98"/>
    </row>
    <row r="74" spans="1:7" ht="34.5" customHeight="1" x14ac:dyDescent="0.25">
      <c r="A74" s="99" t="s">
        <v>17</v>
      </c>
      <c r="B74" s="108" t="s">
        <v>61</v>
      </c>
      <c r="C74" s="8" t="s">
        <v>13</v>
      </c>
      <c r="D74" s="3"/>
    </row>
    <row r="75" spans="1:7" ht="45" x14ac:dyDescent="0.25">
      <c r="A75" s="100"/>
      <c r="B75" s="109"/>
      <c r="C75" s="8" t="s">
        <v>29</v>
      </c>
      <c r="E75" s="16"/>
      <c r="F75" s="19" t="s">
        <v>48</v>
      </c>
      <c r="G75" s="58" t="s">
        <v>49</v>
      </c>
    </row>
    <row r="76" spans="1:7" ht="45" x14ac:dyDescent="0.25">
      <c r="A76" s="100"/>
      <c r="B76" s="39"/>
      <c r="C76" s="8" t="s">
        <v>14</v>
      </c>
    </row>
    <row r="77" spans="1:7" ht="58.5" customHeight="1" x14ac:dyDescent="0.25">
      <c r="A77" s="101"/>
      <c r="B77" s="106">
        <f>IF(AND(75&lt;=B76, B76&lt;100), "0,5", IF(AND(0&lt;=B76,B76&lt;75),0, IF(B76=100, 1, "ошибка")))</f>
        <v>0</v>
      </c>
      <c r="C77" s="107"/>
    </row>
    <row r="78" spans="1:7" ht="58.5" customHeight="1" x14ac:dyDescent="0.25">
      <c r="A78" s="9" t="s">
        <v>34</v>
      </c>
      <c r="B78" s="46" t="s">
        <v>66</v>
      </c>
      <c r="C78" s="43" t="str">
        <f>IF(B78="нет","материалы требуют доработки"," ")</f>
        <v xml:space="preserve"> </v>
      </c>
    </row>
    <row r="79" spans="1:7" ht="15" customHeight="1" x14ac:dyDescent="0.25">
      <c r="A79" s="5"/>
    </row>
    <row r="80" spans="1:7" ht="30" customHeight="1" x14ac:dyDescent="0.25">
      <c r="A80" s="90" t="s">
        <v>88</v>
      </c>
      <c r="B80" s="90"/>
      <c r="C80" s="90"/>
      <c r="E80" s="98" t="s">
        <v>82</v>
      </c>
      <c r="F80" s="98"/>
      <c r="G80" s="98"/>
    </row>
    <row r="81" spans="1:7" ht="44.25" customHeight="1" x14ac:dyDescent="0.25">
      <c r="A81" s="74" t="s">
        <v>18</v>
      </c>
      <c r="B81" s="102" t="s">
        <v>89</v>
      </c>
      <c r="C81" s="103"/>
    </row>
    <row r="82" spans="1:7" ht="99.75" customHeight="1" x14ac:dyDescent="0.25">
      <c r="A82" s="74"/>
      <c r="B82" s="104"/>
      <c r="C82" s="105"/>
      <c r="F82" s="19" t="s">
        <v>51</v>
      </c>
      <c r="G82" s="58" t="s">
        <v>50</v>
      </c>
    </row>
    <row r="83" spans="1:7" ht="35.25" customHeight="1" x14ac:dyDescent="0.25">
      <c r="A83" s="74"/>
      <c r="B83" s="106">
        <v>0</v>
      </c>
      <c r="C83" s="107"/>
    </row>
    <row r="84" spans="1:7" ht="42" customHeight="1" x14ac:dyDescent="0.25">
      <c r="A84" s="7" t="s">
        <v>68</v>
      </c>
      <c r="B84" s="46" t="s">
        <v>66</v>
      </c>
      <c r="C84" s="43" t="str">
        <f>IF(B84="нет","материалы требуют доработки"," ")</f>
        <v xml:space="preserve"> </v>
      </c>
    </row>
    <row r="85" spans="1:7" ht="15" customHeight="1" x14ac:dyDescent="0.25">
      <c r="A85" s="31"/>
      <c r="B85" s="32"/>
      <c r="C85" s="33"/>
    </row>
    <row r="86" spans="1:7" ht="52.5" customHeight="1" x14ac:dyDescent="0.25">
      <c r="A86" s="83" t="s">
        <v>85</v>
      </c>
      <c r="B86" s="83"/>
      <c r="C86" s="83"/>
      <c r="E86" s="98" t="s">
        <v>82</v>
      </c>
      <c r="F86" s="98"/>
      <c r="G86" s="98"/>
    </row>
    <row r="87" spans="1:7" ht="75" x14ac:dyDescent="0.25">
      <c r="A87" s="7" t="s">
        <v>35</v>
      </c>
      <c r="B87" s="46" t="s">
        <v>66</v>
      </c>
      <c r="C87" s="43" t="str">
        <f>IF(B87="нет","материалы требуют доработки"," ")</f>
        <v xml:space="preserve"> </v>
      </c>
    </row>
    <row r="88" spans="1:7" ht="30" x14ac:dyDescent="0.25">
      <c r="A88" s="7" t="s">
        <v>36</v>
      </c>
      <c r="B88" s="46" t="s">
        <v>67</v>
      </c>
      <c r="C88" s="55">
        <f>IF(B88="да",1,0)</f>
        <v>0</v>
      </c>
      <c r="E88" s="16"/>
    </row>
    <row r="89" spans="1:7" ht="15" customHeight="1" x14ac:dyDescent="0.25">
      <c r="A89" s="31"/>
      <c r="B89" s="32"/>
      <c r="C89" s="33"/>
    </row>
    <row r="90" spans="1:7" ht="49.5" customHeight="1" x14ac:dyDescent="0.25">
      <c r="A90" s="83" t="s">
        <v>86</v>
      </c>
      <c r="B90" s="83"/>
      <c r="C90" s="83"/>
      <c r="E90" s="98" t="s">
        <v>82</v>
      </c>
      <c r="F90" s="98"/>
      <c r="G90" s="98"/>
    </row>
    <row r="91" spans="1:7" ht="109.5" customHeight="1" x14ac:dyDescent="0.25">
      <c r="A91" s="7" t="s">
        <v>37</v>
      </c>
      <c r="B91" s="46" t="s">
        <v>66</v>
      </c>
      <c r="C91" s="43" t="str">
        <f>IF(B91="нет","материалы требуют доработки"," ")</f>
        <v xml:space="preserve"> </v>
      </c>
    </row>
    <row r="92" spans="1:7" ht="38.25" customHeight="1" x14ac:dyDescent="0.25">
      <c r="A92" s="7" t="s">
        <v>38</v>
      </c>
      <c r="B92" s="46" t="s">
        <v>67</v>
      </c>
      <c r="C92" s="55">
        <f>IF(B92="да",1,0)</f>
        <v>0</v>
      </c>
      <c r="E92" s="16"/>
    </row>
    <row r="93" spans="1:7" ht="37.5" customHeight="1" x14ac:dyDescent="0.25">
      <c r="A93" s="83" t="s">
        <v>9</v>
      </c>
      <c r="B93" s="83"/>
      <c r="C93" s="83"/>
    </row>
    <row r="94" spans="1:7" ht="75" x14ac:dyDescent="0.25">
      <c r="A94" s="13" t="s">
        <v>10</v>
      </c>
      <c r="B94" s="46" t="s">
        <v>66</v>
      </c>
      <c r="C94" s="43" t="str">
        <f>IF(B94="нет","материалы требуют доработки"," ")</f>
        <v xml:space="preserve"> </v>
      </c>
    </row>
    <row r="95" spans="1:7" ht="108.75" customHeight="1" x14ac:dyDescent="0.25">
      <c r="A95" s="7" t="s">
        <v>11</v>
      </c>
      <c r="B95" s="46" t="s">
        <v>66</v>
      </c>
      <c r="C95" s="43" t="str">
        <f>IF(B95="нет","материалы требуют доработки"," ")</f>
        <v xml:space="preserve"> </v>
      </c>
    </row>
    <row r="96" spans="1:7" ht="45" customHeight="1" x14ac:dyDescent="0.25">
      <c r="A96" s="52" t="s">
        <v>81</v>
      </c>
      <c r="B96" s="46" t="s">
        <v>66</v>
      </c>
      <c r="C96" s="53" t="str">
        <f>IF(B96="нет","материалы требуют доработки"," ")</f>
        <v xml:space="preserve"> </v>
      </c>
    </row>
    <row r="100" spans="1:8" ht="45" customHeight="1" x14ac:dyDescent="0.25">
      <c r="A100" s="97" t="s">
        <v>47</v>
      </c>
      <c r="B100" s="97"/>
      <c r="C100" s="17">
        <f>IF(OR(C55="рекомендуется сосредоточиться на реализации инвестиционных проектов в первую очередь в тех субъектах РФ, по которым наблюдается уровень обеспечености ниже среднего уровня по России",H100="материалы требуют доработки",H102="проведение оценки эффективности по объекту не требуется",H103="материалы, представленные в ненадлежащем порядке, не могут быть приняты к рассмотрению (требуется подписание Сведений руководителем (или уполномоченным им лицом))."),"РЕЗУЛЬТАТ НЕГАТИВНЫЙ (СМ ПРИМЕЧАНИЯ)",(C22*0.6+B77*0.4+B83*0.4+C88*0.4+C92*0.4))</f>
        <v>0</v>
      </c>
      <c r="E100" s="16"/>
      <c r="H100" s="60">
        <f>IF(OR(C96="материалы требуют доработки",C95="материалы требуют доработки",C94="материалы требуют доработки",C91="материалы требуют доработки",C87="материалы требуют доработки",C84="материалы требуют доработки",C78="материалы требуют доработки",C70="материалы требуют доработки",C69="материалы требуют доработки",C65="материалы требуют доработки",C64="материалы требуют доработки",C63="материалы требуют доработки",C59="материалы требуют доработки",C37="материалы требуют доработки",C36="материалы требуют доработки",C35="материалы требуют доработки",C31="материалы требуют доработки",C29="материалы требуют доработки",C26="материалы требуют доработки",C17="материалы требуют доработки",C16="материалы требуют доработки"),"материалы требуют доработки",0)</f>
        <v>0</v>
      </c>
    </row>
    <row r="101" spans="1:8" ht="45.75" customHeight="1" x14ac:dyDescent="0.25">
      <c r="C101" s="73" t="str">
        <f>IF(C100="РЕЗУЛЬТАТ НЕГАТИВНЫЙ (СМ ПРИМЕЧАНИЯ)"," ",IF(C100&gt;=60%,"объект признан ЭФФЕКТИВНЫМ",IF(C100&lt;60%,"объект признан НИЗКОЭФФЕКТИВНЫМ"," ")))</f>
        <v>объект признан НИЗКОЭФФЕКТИВНЫМ</v>
      </c>
    </row>
    <row r="102" spans="1:8" x14ac:dyDescent="0.25">
      <c r="H102" s="60" t="str">
        <f>C15</f>
        <v xml:space="preserve"> </v>
      </c>
    </row>
    <row r="103" spans="1:8" ht="36.75" customHeight="1" x14ac:dyDescent="0.25">
      <c r="H103" s="60" t="str">
        <f>C18</f>
        <v xml:space="preserve"> </v>
      </c>
    </row>
    <row r="115" ht="81" customHeight="1" x14ac:dyDescent="0.25"/>
  </sheetData>
  <mergeCells count="40">
    <mergeCell ref="A100:B100"/>
    <mergeCell ref="E73:G73"/>
    <mergeCell ref="A51:A53"/>
    <mergeCell ref="A74:A77"/>
    <mergeCell ref="B81:C82"/>
    <mergeCell ref="B83:C83"/>
    <mergeCell ref="B77:C77"/>
    <mergeCell ref="A90:C90"/>
    <mergeCell ref="A93:C93"/>
    <mergeCell ref="A86:C86"/>
    <mergeCell ref="B74:B75"/>
    <mergeCell ref="E57:G58"/>
    <mergeCell ref="E80:G80"/>
    <mergeCell ref="E86:G86"/>
    <mergeCell ref="E90:G90"/>
    <mergeCell ref="A13:B13"/>
    <mergeCell ref="A8:B8"/>
    <mergeCell ref="A7:B7"/>
    <mergeCell ref="A81:A83"/>
    <mergeCell ref="A80:C80"/>
    <mergeCell ref="A73:C73"/>
    <mergeCell ref="A43:A45"/>
    <mergeCell ref="A47:A49"/>
    <mergeCell ref="A39:A41"/>
    <mergeCell ref="A6:B6"/>
    <mergeCell ref="A24:B24"/>
    <mergeCell ref="A9:B11"/>
    <mergeCell ref="A1:C1"/>
    <mergeCell ref="A71:C71"/>
    <mergeCell ref="A57:C57"/>
    <mergeCell ref="A62:C62"/>
    <mergeCell ref="A2:C2"/>
    <mergeCell ref="A68:C68"/>
    <mergeCell ref="A20:C20"/>
    <mergeCell ref="A14:C14"/>
    <mergeCell ref="A22:B22"/>
    <mergeCell ref="A5:B5"/>
    <mergeCell ref="A4:B4"/>
    <mergeCell ref="A3:B3"/>
    <mergeCell ref="A12:B12"/>
  </mergeCells>
  <dataValidations count="3">
    <dataValidation type="list" allowBlank="1" showInputMessage="1" showErrorMessage="1" sqref="B15:B18 B78 B69:B70 B84 B94:B96 B26:B37 B91 B55 B87">
      <formula1>$H$16:$H$17</formula1>
    </dataValidation>
    <dataValidation type="list" allowBlank="1" showInputMessage="1" showErrorMessage="1" sqref="B59:B60 B63:B66 B92 B88">
      <formula1>$H$16:$H$18</formula1>
    </dataValidation>
    <dataValidation type="list" allowBlank="1" showInputMessage="1" showErrorMessage="1" sqref="B83:C83">
      <formula1>$H$20:$H$22</formula1>
    </dataValidation>
  </dataValidations>
  <printOptions horizontalCentered="1"/>
  <pageMargins left="0.23622047244094491" right="0.23622047244094491" top="0.35433070866141736" bottom="0.35433070866141736" header="0.31496062992125984" footer="0.31496062992125984"/>
  <pageSetup paperSize="9" scale="90" orientation="landscape" r:id="rId1"/>
  <rowBreaks count="1" manualBreakCount="1">
    <brk id="37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Скузоватов Василий Юрьевич</dc:creator>
  <cp:lastModifiedBy>Гомарева Любовь Борисовна</cp:lastModifiedBy>
  <cp:lastPrinted>2025-04-03T09:32:13Z</cp:lastPrinted>
  <dcterms:created xsi:type="dcterms:W3CDTF">2024-04-23T14:43:29Z</dcterms:created>
  <dcterms:modified xsi:type="dcterms:W3CDTF">2025-07-01T10:38:36Z</dcterms:modified>
</cp:coreProperties>
</file>