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Vyacheslav.Koykov\Downloads\"/>
    </mc:Choice>
  </mc:AlternateContent>
  <bookViews>
    <workbookView xWindow="0" yWindow="0" windowWidth="28800" windowHeight="12300" tabRatio="500"/>
  </bookViews>
  <sheets>
    <sheet name="НМЦК" sheetId="1" r:id="rId1"/>
    <sheet name="Пересчет НМЦК" sheetId="2" r:id="rId2"/>
  </sheets>
  <definedNames>
    <definedName name="_xlnm.Print_Area" localSheetId="0">НМЦК!$A$1:$L$24</definedName>
  </definedName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2" i="1" l="1"/>
  <c r="C21" i="2" l="1"/>
  <c r="F21" i="2" s="1"/>
  <c r="F22" i="2" s="1"/>
  <c r="E8" i="2"/>
  <c r="D6" i="2"/>
  <c r="D7" i="2" s="1"/>
  <c r="D8" i="2" s="1"/>
  <c r="K12" i="1"/>
  <c r="I12" i="1"/>
  <c r="J12" i="1" l="1"/>
  <c r="J13" i="1" s="1"/>
  <c r="B14" i="1" s="1"/>
  <c r="L12" i="1"/>
  <c r="D21" i="2"/>
  <c r="D22" i="2" s="1"/>
  <c r="E21" i="2"/>
  <c r="E22" i="2" s="1"/>
</calcChain>
</file>

<file path=xl/sharedStrings.xml><?xml version="1.0" encoding="utf-8"?>
<sst xmlns="http://schemas.openxmlformats.org/spreadsheetml/2006/main" count="70" uniqueCount="67">
  <si>
    <t xml:space="preserve">                                                                                                                                      Приложение №2 к  Заявке №        от    "      "             2026г.
</t>
  </si>
  <si>
    <t>Обоснование начальной (максимальной) цены контракта</t>
  </si>
  <si>
    <t>(указывается предмет контракта)</t>
  </si>
  <si>
    <t>Основные характеристики объекта закупки</t>
  </si>
  <si>
    <t>Согласно спецификации</t>
  </si>
  <si>
    <t>Используемый метод определения НМЦК с обоснованием:</t>
  </si>
  <si>
    <t>Метод сопоставимых рыночных цен (анализа рынка)</t>
  </si>
  <si>
    <t>Расчет НМЦК</t>
  </si>
  <si>
    <t>№</t>
  </si>
  <si>
    <t>Наименование товара, услуги (работы)</t>
  </si>
  <si>
    <t>Ед. изм</t>
  </si>
  <si>
    <t>Кол-во</t>
  </si>
  <si>
    <t>Подрядчик 1</t>
  </si>
  <si>
    <t>Подрядчик 2</t>
  </si>
  <si>
    <t>Подрядчик 3</t>
  </si>
  <si>
    <t>Средняя цена с НДС в руб.</t>
  </si>
  <si>
    <t>Среднее значение среднего квадратичного отклонения</t>
  </si>
  <si>
    <t>Коэф. вариации</t>
  </si>
  <si>
    <t>Цена с НДС в руб.</t>
  </si>
  <si>
    <t>Условная единица</t>
  </si>
  <si>
    <t>Итого</t>
  </si>
  <si>
    <t>Дата подготовки обоснования НМЦК: 25.01.2026</t>
  </si>
  <si>
    <t>Перерасчет НМЦК в соответствии с фактической и/или прогнозируемой инфляцией</t>
  </si>
  <si>
    <t>Цена, после применения показателя</t>
  </si>
  <si>
    <t>Показатель</t>
  </si>
  <si>
    <t>Источник</t>
  </si>
  <si>
    <t>Значение</t>
  </si>
  <si>
    <t>Коммерческое предложение № 291 от 21.07.2022 г.</t>
  </si>
  <si>
    <t>Коммерческие предложения №№ 83-87 от 10.06.2024</t>
  </si>
  <si>
    <t>Коммерческое предложение № 09/06/2025-7 от 09.06.2025</t>
  </si>
  <si>
    <t>Исходная цена контракта по коммерческому предложению</t>
  </si>
  <si>
    <t>Инфляция в 2022 году (Услуги)</t>
  </si>
  <si>
    <t>https://www.cbr.ru/analytics/dkp/dinamic/CPD_2023-1/</t>
  </si>
  <si>
    <t>Инфляция в 2023 году (Услуги)</t>
  </si>
  <si>
    <t>https://www.cbr.ru/analytics/dkp/dinamic/CPD_2024-1/</t>
  </si>
  <si>
    <t>Инфляция в 2024 году (Услуги)</t>
  </si>
  <si>
    <t>https://www.cbr.ru/analytics/dkp/dinamic/CPD_2025-1/</t>
  </si>
  <si>
    <t>Инфляция в январе 2025 года (Услуги)</t>
  </si>
  <si>
    <t>Инфляция в феврале 2025 года (Услуги)</t>
  </si>
  <si>
    <t>https://www.cbr.ru/analytics/dkp/dinamic/CPD_2025-2/</t>
  </si>
  <si>
    <t>Инфляция в марте 2025 года (Услуги)</t>
  </si>
  <si>
    <t>https://www.cbr.ru/analytics/dkp/dinamic/CPD_2025-3/</t>
  </si>
  <si>
    <t>Инфляция в апреле 2025 года (Услуги)</t>
  </si>
  <si>
    <t>https://www.cbr.ru/analytics/dkp/dinamic/analytics/dkp/dinamic/CPD_2025-4/</t>
  </si>
  <si>
    <t>Инфляция в мае 2025 года (Услуги)</t>
  </si>
  <si>
    <t>https://www.cbr.ru/analytics/dkp/dinamic/analytics/dkp/dinamic/CPD_2025-5/</t>
  </si>
  <si>
    <t>Инфляция в июне 2025 года (Услуги)</t>
  </si>
  <si>
    <t>https://www.cbr.ru/analytics/dkp/dinamic/CPD_2025-6/</t>
  </si>
  <si>
    <t>Инфляция в июле 2025 года (Услуги)</t>
  </si>
  <si>
    <t>https://www.cbr.ru/analytics/dkp/dinamic/CPD_2025-7/</t>
  </si>
  <si>
    <t>Инфляция в августе 2025 года (Услуги)</t>
  </si>
  <si>
    <t>https://www.cbr.ru/analytics/dkp/dinamic/CPD_2025-8/</t>
  </si>
  <si>
    <t>Инфляция в сентябре 2025 года (Услуги)</t>
  </si>
  <si>
    <t>https://www.cbr.ru/analytics/dkp/dinamic/CPD_2025-9/</t>
  </si>
  <si>
    <t>Инфляция в октябре 2025 года (Услуги)</t>
  </si>
  <si>
    <t>https://www.cbr.ru/analytics/dkp/dinamic/CPD_2025-10/</t>
  </si>
  <si>
    <t>Инфляция в ноябре 2025 года (Услуги)</t>
  </si>
  <si>
    <t>https://www.cbr.ru/analytics/dkp/dinamic/CPD_2025-11/</t>
  </si>
  <si>
    <t>Инфляция в декабре 2025 года (Услуги)</t>
  </si>
  <si>
    <t>https://www.cbr.ru/analytics/dkp/dinamic/CPD_2025-12/</t>
  </si>
  <si>
    <t>Средняя инфляция в 2025 году (рассчитана как среднее от месячных значений)</t>
  </si>
  <si>
    <t>Цена после применения индексов, а также с учетом ожидаемой инфляции в 2026 году (стр. 7 Прогноза социально-экономического развития Российской Федерации на 2026 год и на плановый период 2027 и 2028 годов)</t>
  </si>
  <si>
    <t>https://www.economy.gov.ru/material/file/download/bc142016f6ab3772370bb0b4541fc778/prognoz_socialno_ekonomicheskogo_razvitiya_rf_2026-2028.pdf</t>
  </si>
  <si>
    <t>Дата обращения к вышеуказанным сайтам: 25.01.2026 г.</t>
  </si>
  <si>
    <t>Разработка проектно-сметной документации по комплексному капитальному ремонту объекта образования</t>
  </si>
  <si>
    <t>МБОУ</t>
  </si>
  <si>
    <t>С учетом объемов финансового обеспечения для осуществления соответствующей закупки, предусмотренных Планом финансово хозяйственной деятельности на 2026 год , начальная (максимальная) цена установлена в размере ______ руб., в пределах доведенных субсидий.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</si>
</sst>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-* #,##0.00_р_._-;\-* #,##0.00_р_._-;_-* \-??_р_._-;_-@_-"/>
    <numFmt numFmtId="165" formatCode="0.000000"/>
    <numFmt numFmtId="166" formatCode="_-* #,##0.00&quot;р.&quot;_-;\-* #,##0.00&quot;р.&quot;_-;_-* \-??&quot;р.&quot;_-;_-@_-"/>
    <numFmt numFmtId="167" formatCode="#,##0.00\ [$₽-419];[Red]\-#,##0.00\ [$₽-419]"/>
  </numFmts>
  <fonts count="13" x14ac:knownFonts="1">
    <font>
      <sz val="11"/>
      <color theme="1"/>
      <name val="Calibri"/>
      <family val="2"/>
      <charset val="204"/>
    </font>
    <font>
      <sz val="11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164" fontId="12" fillId="0" borderId="0" applyBorder="0" applyProtection="0"/>
  </cellStyleXfs>
  <cellXfs count="86">
    <xf numFmtId="0" fontId="0" fillId="0" borderId="0" xfId="0"/>
    <xf numFmtId="0" fontId="0" fillId="0" borderId="0" xfId="0" applyAlignment="1" applyProtection="1"/>
    <xf numFmtId="2" fontId="0" fillId="0" borderId="0" xfId="0" applyNumberFormat="1" applyAlignment="1" applyProtection="1"/>
    <xf numFmtId="2" fontId="0" fillId="0" borderId="0" xfId="0" applyNumberFormat="1" applyAlignment="1" applyProtection="1">
      <alignment horizontal="center" vertical="center"/>
    </xf>
    <xf numFmtId="0" fontId="1" fillId="0" borderId="0" xfId="0" applyFont="1" applyAlignment="1" applyProtection="1"/>
    <xf numFmtId="2" fontId="1" fillId="0" borderId="0" xfId="0" applyNumberFormat="1" applyFont="1" applyAlignment="1" applyProtection="1"/>
    <xf numFmtId="2" fontId="1" fillId="0" borderId="0" xfId="0" applyNumberFormat="1" applyFont="1" applyAlignment="1" applyProtection="1">
      <alignment horizontal="center" vertical="center"/>
    </xf>
    <xf numFmtId="2" fontId="1" fillId="0" borderId="1" xfId="0" applyNumberFormat="1" applyFont="1" applyBorder="1" applyAlignment="1" applyProtection="1"/>
    <xf numFmtId="2" fontId="1" fillId="0" borderId="0" xfId="0" applyNumberFormat="1" applyFont="1" applyBorder="1" applyAlignment="1" applyProtection="1"/>
    <xf numFmtId="0" fontId="5" fillId="0" borderId="2" xfId="0" applyFont="1" applyBorder="1" applyAlignment="1" applyProtection="1">
      <alignment wrapText="1"/>
    </xf>
    <xf numFmtId="0" fontId="6" fillId="0" borderId="4" xfId="0" applyFont="1" applyBorder="1" applyAlignment="1" applyProtection="1">
      <alignment vertical="center"/>
    </xf>
    <xf numFmtId="0" fontId="5" fillId="0" borderId="2" xfId="0" applyFont="1" applyBorder="1" applyAlignment="1" applyProtection="1">
      <alignment horizontal="center" vertical="center" wrapText="1"/>
    </xf>
    <xf numFmtId="2" fontId="7" fillId="0" borderId="2" xfId="0" applyNumberFormat="1" applyFont="1" applyBorder="1" applyAlignment="1" applyProtection="1">
      <alignment horizontal="center" vertical="center" wrapText="1"/>
    </xf>
    <xf numFmtId="2" fontId="6" fillId="0" borderId="5" xfId="0" applyNumberFormat="1" applyFont="1" applyBorder="1" applyAlignment="1" applyProtection="1">
      <alignment horizontal="center" vertical="center" wrapText="1"/>
    </xf>
    <xf numFmtId="2" fontId="6" fillId="0" borderId="6" xfId="0" applyNumberFormat="1" applyFont="1" applyBorder="1" applyAlignment="1" applyProtection="1"/>
    <xf numFmtId="0" fontId="0" fillId="0" borderId="7" xfId="0" applyBorder="1" applyAlignment="1" applyProtection="1"/>
    <xf numFmtId="0" fontId="6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justify" vertical="top"/>
    </xf>
    <xf numFmtId="0" fontId="6" fillId="0" borderId="8" xfId="0" applyFont="1" applyBorder="1" applyAlignment="1" applyProtection="1">
      <alignment horizontal="center" vertical="center" wrapText="1"/>
    </xf>
    <xf numFmtId="4" fontId="6" fillId="3" borderId="8" xfId="0" applyNumberFormat="1" applyFont="1" applyFill="1" applyBorder="1" applyAlignment="1" applyProtection="1">
      <alignment horizontal="center" vertical="center"/>
    </xf>
    <xf numFmtId="2" fontId="6" fillId="0" borderId="2" xfId="0" applyNumberFormat="1" applyFont="1" applyBorder="1" applyAlignment="1" applyProtection="1">
      <alignment horizontal="center" vertical="center" wrapText="1"/>
    </xf>
    <xf numFmtId="2" fontId="6" fillId="0" borderId="2" xfId="0" applyNumberFormat="1" applyFont="1" applyBorder="1" applyAlignment="1" applyProtection="1">
      <alignment horizontal="center" vertical="center"/>
    </xf>
    <xf numFmtId="2" fontId="6" fillId="3" borderId="8" xfId="0" applyNumberFormat="1" applyFont="1" applyFill="1" applyBorder="1" applyAlignment="1" applyProtection="1">
      <alignment horizontal="center" vertical="center"/>
    </xf>
    <xf numFmtId="4" fontId="8" fillId="0" borderId="2" xfId="0" applyNumberFormat="1" applyFont="1" applyBorder="1" applyAlignment="1" applyProtection="1">
      <alignment horizontal="center" vertical="center"/>
    </xf>
    <xf numFmtId="164" fontId="4" fillId="0" borderId="2" xfId="1" applyFont="1" applyBorder="1" applyAlignment="1" applyProtection="1"/>
    <xf numFmtId="165" fontId="0" fillId="0" borderId="0" xfId="0" applyNumberFormat="1" applyAlignment="1" applyProtection="1"/>
    <xf numFmtId="0" fontId="6" fillId="0" borderId="2" xfId="0" applyFont="1" applyBorder="1" applyAlignment="1" applyProtection="1"/>
    <xf numFmtId="0" fontId="0" fillId="0" borderId="9" xfId="0" applyBorder="1" applyAlignment="1" applyProtection="1"/>
    <xf numFmtId="0" fontId="6" fillId="0" borderId="4" xfId="0" applyFont="1" applyBorder="1" applyAlignment="1" applyProtection="1"/>
    <xf numFmtId="2" fontId="6" fillId="3" borderId="4" xfId="0" applyNumberFormat="1" applyFont="1" applyFill="1" applyBorder="1" applyAlignment="1" applyProtection="1">
      <alignment horizontal="center"/>
    </xf>
    <xf numFmtId="2" fontId="6" fillId="0" borderId="4" xfId="0" applyNumberFormat="1" applyFont="1" applyBorder="1" applyAlignment="1" applyProtection="1"/>
    <xf numFmtId="2" fontId="6" fillId="0" borderId="4" xfId="0" applyNumberFormat="1" applyFont="1" applyBorder="1" applyAlignment="1" applyProtection="1">
      <alignment horizontal="center" vertical="center"/>
    </xf>
    <xf numFmtId="2" fontId="6" fillId="0" borderId="10" xfId="0" applyNumberFormat="1" applyFont="1" applyBorder="1" applyAlignment="1" applyProtection="1"/>
    <xf numFmtId="0" fontId="6" fillId="0" borderId="2" xfId="0" applyFont="1" applyBorder="1" applyAlignment="1" applyProtection="1">
      <alignment wrapText="1"/>
    </xf>
    <xf numFmtId="2" fontId="6" fillId="0" borderId="2" xfId="0" applyNumberFormat="1" applyFont="1" applyBorder="1" applyAlignment="1" applyProtection="1"/>
    <xf numFmtId="166" fontId="0" fillId="0" borderId="0" xfId="0" applyNumberFormat="1" applyAlignment="1" applyProtection="1"/>
    <xf numFmtId="4" fontId="0" fillId="0" borderId="0" xfId="0" applyNumberFormat="1" applyAlignment="1" applyProtection="1"/>
    <xf numFmtId="167" fontId="0" fillId="0" borderId="0" xfId="0" applyNumberFormat="1" applyAlignment="1" applyProtection="1"/>
    <xf numFmtId="0" fontId="6" fillId="0" borderId="3" xfId="0" applyFont="1" applyBorder="1" applyAlignment="1" applyProtection="1">
      <alignment horizontal="center" vertical="center" wrapText="1"/>
    </xf>
    <xf numFmtId="0" fontId="6" fillId="0" borderId="4" xfId="0" applyFont="1" applyBorder="1" applyAlignment="1" applyProtection="1">
      <alignment horizontal="center" vertical="center"/>
    </xf>
    <xf numFmtId="0" fontId="8" fillId="0" borderId="0" xfId="0" applyFont="1" applyAlignment="1" applyProtection="1">
      <alignment vertical="center"/>
    </xf>
    <xf numFmtId="0" fontId="10" fillId="0" borderId="0" xfId="0" applyFont="1" applyAlignment="1" applyProtection="1"/>
    <xf numFmtId="0" fontId="0" fillId="0" borderId="0" xfId="0" applyFont="1" applyAlignment="1" applyProtection="1"/>
    <xf numFmtId="0" fontId="5" fillId="0" borderId="11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right" vertical="center" wrapText="1"/>
    </xf>
    <xf numFmtId="0" fontId="5" fillId="0" borderId="0" xfId="0" applyFont="1" applyBorder="1" applyAlignment="1" applyProtection="1">
      <alignment horizontal="center" vertical="center"/>
    </xf>
    <xf numFmtId="0" fontId="4" fillId="0" borderId="0" xfId="0" applyFont="1" applyAlignment="1" applyProtection="1">
      <alignment vertical="center" wrapText="1"/>
    </xf>
    <xf numFmtId="0" fontId="11" fillId="0" borderId="0" xfId="0" applyFont="1" applyAlignment="1" applyProtection="1"/>
    <xf numFmtId="167" fontId="11" fillId="0" borderId="0" xfId="0" applyNumberFormat="1" applyFont="1" applyAlignment="1" applyProtection="1"/>
    <xf numFmtId="0" fontId="5" fillId="0" borderId="0" xfId="0" applyFont="1" applyAlignment="1" applyProtection="1">
      <alignment vertical="center"/>
    </xf>
    <xf numFmtId="2" fontId="5" fillId="0" borderId="0" xfId="0" applyNumberFormat="1" applyFont="1" applyAlignment="1" applyProtection="1">
      <alignment horizontal="center" vertical="center"/>
    </xf>
    <xf numFmtId="2" fontId="6" fillId="0" borderId="0" xfId="0" applyNumberFormat="1" applyFont="1" applyBorder="1" applyAlignment="1" applyProtection="1">
      <alignment horizontal="center" vertical="center"/>
    </xf>
    <xf numFmtId="2" fontId="5" fillId="0" borderId="0" xfId="0" applyNumberFormat="1" applyFont="1" applyBorder="1" applyAlignment="1" applyProtection="1">
      <alignment horizontal="center" vertical="center"/>
    </xf>
    <xf numFmtId="2" fontId="6" fillId="2" borderId="0" xfId="0" applyNumberFormat="1" applyFont="1" applyFill="1" applyBorder="1" applyAlignment="1" applyProtection="1">
      <alignment horizontal="center" vertical="center"/>
    </xf>
    <xf numFmtId="0" fontId="0" fillId="0" borderId="2" xfId="0" applyBorder="1" applyAlignment="1" applyProtection="1">
      <alignment horizontal="center"/>
    </xf>
    <xf numFmtId="0" fontId="0" fillId="0" borderId="2" xfId="0" applyFont="1" applyBorder="1" applyAlignment="1" applyProtection="1">
      <alignment horizontal="center" wrapText="1"/>
    </xf>
    <xf numFmtId="0" fontId="0" fillId="0" borderId="2" xfId="0" applyBorder="1" applyAlignment="1" applyProtection="1"/>
    <xf numFmtId="4" fontId="0" fillId="0" borderId="2" xfId="0" applyNumberFormat="1" applyBorder="1" applyAlignment="1" applyProtection="1"/>
    <xf numFmtId="0" fontId="0" fillId="0" borderId="2" xfId="0" applyFont="1" applyBorder="1" applyAlignment="1" applyProtection="1">
      <alignment horizontal="center"/>
    </xf>
    <xf numFmtId="10" fontId="0" fillId="0" borderId="2" xfId="0" applyNumberFormat="1" applyBorder="1" applyAlignment="1" applyProtection="1"/>
    <xf numFmtId="4" fontId="0" fillId="0" borderId="2" xfId="0" applyNumberFormat="1" applyBorder="1" applyAlignment="1" applyProtection="1">
      <alignment wrapText="1"/>
    </xf>
    <xf numFmtId="0" fontId="11" fillId="0" borderId="2" xfId="0" applyFont="1" applyBorder="1" applyAlignment="1" applyProtection="1">
      <alignment horizontal="center" wrapText="1"/>
    </xf>
    <xf numFmtId="4" fontId="11" fillId="0" borderId="2" xfId="0" applyNumberFormat="1" applyFont="1" applyBorder="1" applyAlignment="1" applyProtection="1"/>
    <xf numFmtId="0" fontId="9" fillId="0" borderId="0" xfId="0" applyFont="1" applyBorder="1" applyAlignment="1" applyProtection="1">
      <alignment horizontal="left" vertical="center"/>
    </xf>
    <xf numFmtId="0" fontId="0" fillId="4" borderId="0" xfId="0" applyFill="1" applyBorder="1" applyAlignment="1" applyProtection="1">
      <alignment horizontal="center"/>
    </xf>
    <xf numFmtId="0" fontId="5" fillId="0" borderId="0" xfId="0" applyFont="1" applyBorder="1" applyAlignment="1" applyProtection="1">
      <alignment horizontal="left" vertical="center" wrapText="1"/>
    </xf>
    <xf numFmtId="0" fontId="5" fillId="0" borderId="0" xfId="0" applyFont="1" applyBorder="1" applyAlignment="1" applyProtection="1">
      <alignment horizontal="center" vertical="center" wrapText="1"/>
    </xf>
    <xf numFmtId="2" fontId="6" fillId="0" borderId="5" xfId="0" applyNumberFormat="1" applyFont="1" applyBorder="1" applyAlignment="1" applyProtection="1">
      <alignment horizontal="center" wrapText="1"/>
    </xf>
    <xf numFmtId="0" fontId="4" fillId="0" borderId="5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vertical="top" wrapText="1"/>
    </xf>
    <xf numFmtId="0" fontId="6" fillId="0" borderId="5" xfId="0" applyFont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2" fontId="6" fillId="0" borderId="5" xfId="0" applyNumberFormat="1" applyFont="1" applyBorder="1" applyAlignment="1" applyProtection="1">
      <alignment vertical="center" wrapText="1"/>
    </xf>
    <xf numFmtId="2" fontId="6" fillId="0" borderId="5" xfId="0" applyNumberFormat="1" applyFont="1" applyBorder="1" applyAlignment="1" applyProtection="1">
      <alignment horizontal="center" vertical="center" wrapText="1"/>
    </xf>
    <xf numFmtId="2" fontId="2" fillId="0" borderId="0" xfId="0" applyNumberFormat="1" applyFont="1" applyBorder="1" applyAlignment="1" applyProtection="1">
      <alignment horizontal="center" vertical="top" wrapText="1"/>
    </xf>
    <xf numFmtId="0" fontId="3" fillId="2" borderId="0" xfId="0" applyFont="1" applyFill="1" applyBorder="1" applyAlignment="1" applyProtection="1">
      <alignment horizontal="center"/>
    </xf>
    <xf numFmtId="0" fontId="4" fillId="0" borderId="0" xfId="0" applyFont="1" applyBorder="1" applyAlignment="1" applyProtection="1">
      <alignment horizontal="center" wrapText="1"/>
    </xf>
    <xf numFmtId="0" fontId="3" fillId="0" borderId="0" xfId="0" applyFont="1" applyBorder="1" applyAlignment="1" applyProtection="1">
      <alignment horizontal="center" wrapText="1"/>
    </xf>
    <xf numFmtId="0" fontId="5" fillId="0" borderId="3" xfId="0" applyFont="1" applyBorder="1" applyAlignment="1" applyProtection="1">
      <alignment vertical="center" wrapText="1"/>
    </xf>
    <xf numFmtId="0" fontId="11" fillId="0" borderId="0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 wrapText="1"/>
    </xf>
    <xf numFmtId="0" fontId="0" fillId="0" borderId="0" xfId="0" applyFont="1" applyBorder="1" applyAlignment="1" applyProtection="1">
      <alignment horizontal="left" vertical="center"/>
    </xf>
    <xf numFmtId="0" fontId="6" fillId="5" borderId="3" xfId="0" applyFont="1" applyFill="1" applyBorder="1" applyAlignment="1" applyProtection="1">
      <alignment vertical="center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19080</xdr:colOff>
      <xdr:row>9</xdr:row>
      <xdr:rowOff>72360</xdr:rowOff>
    </xdr:from>
    <xdr:to>
      <xdr:col>9</xdr:col>
      <xdr:colOff>774360</xdr:colOff>
      <xdr:row>10</xdr:row>
      <xdr:rowOff>294120</xdr:rowOff>
    </xdr:to>
    <xdr:pic>
      <xdr:nvPicPr>
        <xdr:cNvPr id="2" name="Рисунок 9"/>
        <xdr:cNvPicPr/>
      </xdr:nvPicPr>
      <xdr:blipFill>
        <a:blip xmlns:r="http://schemas.openxmlformats.org/officeDocument/2006/relationships" r:embed="rId1"/>
        <a:stretch/>
      </xdr:blipFill>
      <xdr:spPr>
        <a:xfrm>
          <a:off x="7738200" y="2821320"/>
          <a:ext cx="755280" cy="688320"/>
        </a:xfrm>
        <a:prstGeom prst="rect">
          <a:avLst/>
        </a:prstGeom>
        <a:noFill/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br.ru/analytics/dkp/dinamic/analytics/dkp/dinamic/CPD_2025-5/" TargetMode="External"/><Relationship Id="rId13" Type="http://schemas.openxmlformats.org/officeDocument/2006/relationships/hyperlink" Target="https://www.cbr.ru/analytics/dkp/dinamic/CPD_2025-10/" TargetMode="External"/><Relationship Id="rId3" Type="http://schemas.openxmlformats.org/officeDocument/2006/relationships/hyperlink" Target="https://www.cbr.ru/analytics/dkp/dinamic/CPD_2025-1/" TargetMode="External"/><Relationship Id="rId7" Type="http://schemas.openxmlformats.org/officeDocument/2006/relationships/hyperlink" Target="https://www.cbr.ru/analytics/dkp/dinamic/analytics/dkp/dinamic/CPD_2025-4/" TargetMode="External"/><Relationship Id="rId12" Type="http://schemas.openxmlformats.org/officeDocument/2006/relationships/hyperlink" Target="https://www.cbr.ru/analytics/dkp/dinamic/CPD_2025-9/" TargetMode="External"/><Relationship Id="rId17" Type="http://schemas.openxmlformats.org/officeDocument/2006/relationships/printerSettings" Target="../printerSettings/printerSettings2.bin"/><Relationship Id="rId2" Type="http://schemas.openxmlformats.org/officeDocument/2006/relationships/hyperlink" Target="https://www.cbr.ru/analytics/dkp/dinamic/CPD_2024-1/" TargetMode="External"/><Relationship Id="rId16" Type="http://schemas.openxmlformats.org/officeDocument/2006/relationships/hyperlink" Target="https://www.economy.gov.ru/material/file/download/bc142016f6ab3772370bb0b4541fc778/prognoz_socialno_ekonomicheskogo_razvitiya_rf_2026-2028.pdf" TargetMode="External"/><Relationship Id="rId1" Type="http://schemas.openxmlformats.org/officeDocument/2006/relationships/hyperlink" Target="https://www.cbr.ru/analytics/dkp/dinamic/CPD_2023-1/" TargetMode="External"/><Relationship Id="rId6" Type="http://schemas.openxmlformats.org/officeDocument/2006/relationships/hyperlink" Target="https://www.cbr.ru/analytics/dkp/dinamic/CPD_2025-3/" TargetMode="External"/><Relationship Id="rId11" Type="http://schemas.openxmlformats.org/officeDocument/2006/relationships/hyperlink" Target="https://www.cbr.ru/analytics/dkp/dinamic/CPD_2025-8/" TargetMode="External"/><Relationship Id="rId5" Type="http://schemas.openxmlformats.org/officeDocument/2006/relationships/hyperlink" Target="https://www.cbr.ru/analytics/dkp/dinamic/CPD_2025-2/" TargetMode="External"/><Relationship Id="rId15" Type="http://schemas.openxmlformats.org/officeDocument/2006/relationships/hyperlink" Target="https://www.cbr.ru/analytics/dkp/dinamic/CPD_2025-12/" TargetMode="External"/><Relationship Id="rId10" Type="http://schemas.openxmlformats.org/officeDocument/2006/relationships/hyperlink" Target="https://www.cbr.ru/analytics/dkp/dinamic/CPD_2025-7/" TargetMode="External"/><Relationship Id="rId4" Type="http://schemas.openxmlformats.org/officeDocument/2006/relationships/hyperlink" Target="https://www.cbr.ru/analytics/dkp/dinamic/CPD_2025-1/" TargetMode="External"/><Relationship Id="rId9" Type="http://schemas.openxmlformats.org/officeDocument/2006/relationships/hyperlink" Target="https://www.cbr.ru/analytics/dkp/dinamic/CPD_2025-6/" TargetMode="External"/><Relationship Id="rId14" Type="http://schemas.openxmlformats.org/officeDocument/2006/relationships/hyperlink" Target="https://www.cbr.ru/analytics/dkp/dinamic/CPD_2025-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1"/>
  <sheetViews>
    <sheetView tabSelected="1" view="pageBreakPreview" zoomScaleNormal="100" zoomScaleSheetLayoutView="100" zoomScalePageLayoutView="85" workbookViewId="0">
      <selection activeCell="G20" sqref="G20:L20"/>
    </sheetView>
  </sheetViews>
  <sheetFormatPr defaultColWidth="8.7109375" defaultRowHeight="15" customHeight="1" x14ac:dyDescent="0.25"/>
  <cols>
    <col min="1" max="1" width="12.7109375" style="1" customWidth="1"/>
    <col min="2" max="2" width="4.5703125" style="1" customWidth="1"/>
    <col min="3" max="3" width="24.42578125" style="1" customWidth="1"/>
    <col min="4" max="4" width="8.28515625" style="1" customWidth="1"/>
    <col min="5" max="5" width="8.42578125" style="2" customWidth="1"/>
    <col min="6" max="6" width="13.28515625" style="2" customWidth="1"/>
    <col min="7" max="7" width="14" style="3" customWidth="1"/>
    <col min="8" max="8" width="12.42578125" style="2" customWidth="1"/>
    <col min="9" max="9" width="11.42578125" style="2" customWidth="1"/>
    <col min="10" max="10" width="12.42578125" style="2" customWidth="1"/>
    <col min="11" max="11" width="17.5703125" style="2" customWidth="1"/>
    <col min="12" max="12" width="11.85546875" style="2" customWidth="1"/>
    <col min="13" max="13" width="2.42578125" style="1" customWidth="1"/>
    <col min="14" max="14" width="18.42578125" style="1" customWidth="1"/>
    <col min="15" max="15" width="11.5703125" style="1" customWidth="1"/>
    <col min="16" max="16" width="15.7109375" style="1" customWidth="1"/>
    <col min="19" max="19" width="15" style="1" customWidth="1"/>
  </cols>
  <sheetData>
    <row r="1" spans="1:19" ht="15" customHeight="1" x14ac:dyDescent="0.25">
      <c r="A1" s="4"/>
      <c r="B1" s="4"/>
      <c r="C1" s="4"/>
      <c r="D1" s="4"/>
      <c r="E1" s="77" t="s">
        <v>0</v>
      </c>
      <c r="F1" s="77"/>
      <c r="G1" s="77"/>
      <c r="H1" s="77"/>
      <c r="I1" s="77"/>
      <c r="J1" s="77"/>
      <c r="K1" s="77"/>
      <c r="L1" s="77"/>
    </row>
    <row r="2" spans="1:19" x14ac:dyDescent="0.25">
      <c r="A2" s="4"/>
      <c r="B2" s="4"/>
      <c r="C2" s="4"/>
      <c r="D2" s="4"/>
      <c r="E2" s="77"/>
      <c r="F2" s="77"/>
      <c r="G2" s="77"/>
      <c r="H2" s="77"/>
      <c r="I2" s="77"/>
      <c r="J2" s="77"/>
      <c r="K2" s="77"/>
      <c r="L2" s="77"/>
    </row>
    <row r="3" spans="1:19" x14ac:dyDescent="0.25">
      <c r="A3" s="4"/>
      <c r="B3" s="4"/>
      <c r="C3" s="78" t="s">
        <v>65</v>
      </c>
      <c r="D3" s="78"/>
      <c r="E3" s="78"/>
      <c r="F3" s="78"/>
      <c r="G3" s="78"/>
      <c r="H3" s="78"/>
      <c r="I3" s="78"/>
      <c r="J3" s="78"/>
      <c r="K3" s="5"/>
      <c r="L3" s="5"/>
    </row>
    <row r="4" spans="1:19" ht="15.75" customHeight="1" x14ac:dyDescent="0.25">
      <c r="A4" s="79" t="s">
        <v>1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</row>
    <row r="5" spans="1:19" x14ac:dyDescent="0.25">
      <c r="A5" s="4"/>
      <c r="B5" s="4"/>
      <c r="C5" s="4"/>
      <c r="D5" s="4"/>
      <c r="E5" s="5"/>
      <c r="F5" s="5"/>
      <c r="G5" s="6"/>
      <c r="H5" s="5"/>
      <c r="I5" s="5"/>
      <c r="J5" s="5"/>
      <c r="K5" s="5"/>
      <c r="L5" s="5"/>
    </row>
    <row r="6" spans="1:19" ht="39.4" customHeight="1" x14ac:dyDescent="0.25">
      <c r="A6" s="80" t="s">
        <v>64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</row>
    <row r="7" spans="1:19" ht="4.5" customHeight="1" x14ac:dyDescent="0.25">
      <c r="A7" s="4"/>
      <c r="B7" s="4"/>
      <c r="C7" s="4"/>
      <c r="D7" s="4"/>
      <c r="E7" s="5"/>
      <c r="F7" s="5" t="s">
        <v>2</v>
      </c>
      <c r="G7" s="6"/>
      <c r="H7" s="7"/>
      <c r="I7" s="8"/>
      <c r="J7" s="5"/>
      <c r="K7" s="5"/>
      <c r="L7" s="5"/>
    </row>
    <row r="8" spans="1:19" ht="55.5" customHeight="1" x14ac:dyDescent="0.25">
      <c r="A8" s="9" t="s">
        <v>3</v>
      </c>
      <c r="B8" s="81" t="s">
        <v>4</v>
      </c>
      <c r="C8" s="81"/>
      <c r="D8" s="81"/>
      <c r="E8" s="81"/>
      <c r="F8" s="81"/>
      <c r="G8" s="81"/>
      <c r="H8" s="81"/>
      <c r="I8" s="81"/>
      <c r="J8" s="81"/>
      <c r="K8" s="10"/>
      <c r="L8" s="10"/>
    </row>
    <row r="9" spans="1:19" ht="72" customHeight="1" x14ac:dyDescent="0.25">
      <c r="A9" s="11" t="s">
        <v>5</v>
      </c>
      <c r="B9" s="85" t="s">
        <v>6</v>
      </c>
      <c r="C9" s="85"/>
      <c r="D9" s="85"/>
      <c r="E9" s="85"/>
      <c r="F9" s="85"/>
      <c r="G9" s="85"/>
      <c r="H9" s="85"/>
      <c r="I9" s="85"/>
      <c r="J9" s="85"/>
      <c r="K9" s="10"/>
      <c r="L9" s="10"/>
    </row>
    <row r="10" spans="1:19" ht="36.75" customHeight="1" x14ac:dyDescent="0.25">
      <c r="A10" s="72" t="s">
        <v>7</v>
      </c>
      <c r="B10" s="73" t="s">
        <v>8</v>
      </c>
      <c r="C10" s="73" t="s">
        <v>9</v>
      </c>
      <c r="D10" s="74" t="s">
        <v>10</v>
      </c>
      <c r="E10" s="75" t="s">
        <v>11</v>
      </c>
      <c r="F10" s="12" t="s">
        <v>12</v>
      </c>
      <c r="G10" s="12" t="s">
        <v>13</v>
      </c>
      <c r="H10" s="12" t="s">
        <v>14</v>
      </c>
      <c r="I10" s="76" t="s">
        <v>15</v>
      </c>
      <c r="J10" s="14"/>
      <c r="K10" s="67" t="s">
        <v>16</v>
      </c>
      <c r="L10" s="68" t="s">
        <v>17</v>
      </c>
    </row>
    <row r="11" spans="1:19" ht="57" customHeight="1" x14ac:dyDescent="0.25">
      <c r="A11" s="72"/>
      <c r="B11" s="73"/>
      <c r="C11" s="73"/>
      <c r="D11" s="74"/>
      <c r="E11" s="75"/>
      <c r="F11" s="13" t="s">
        <v>18</v>
      </c>
      <c r="G11" s="13" t="s">
        <v>18</v>
      </c>
      <c r="H11" s="13" t="s">
        <v>18</v>
      </c>
      <c r="I11" s="76"/>
      <c r="J11" s="15"/>
      <c r="K11" s="67"/>
      <c r="L11" s="68"/>
    </row>
    <row r="12" spans="1:19" ht="177" customHeight="1" x14ac:dyDescent="0.25">
      <c r="A12" s="72"/>
      <c r="B12" s="16">
        <v>1</v>
      </c>
      <c r="C12" s="17" t="str">
        <f>A6</f>
        <v>Разработка проектно-сметной документации по комплексному капитальному ремонту объекта образования</v>
      </c>
      <c r="D12" s="18" t="s">
        <v>19</v>
      </c>
      <c r="E12" s="19">
        <v>1</v>
      </c>
      <c r="F12" s="20">
        <v>100000</v>
      </c>
      <c r="G12" s="20">
        <v>112000</v>
      </c>
      <c r="H12" s="21">
        <v>100500</v>
      </c>
      <c r="I12" s="22">
        <f>ROUND((F12+G12+ H12)/3,0)</f>
        <v>104167</v>
      </c>
      <c r="J12" s="23">
        <f>E12*I12</f>
        <v>104167</v>
      </c>
      <c r="K12" s="24">
        <f>STDEV( F12:H12)</f>
        <v>6788.4706181387673</v>
      </c>
      <c r="L12" s="24">
        <f>K12/I12*100</f>
        <v>6.516910939298211</v>
      </c>
      <c r="M12" s="25"/>
      <c r="N12" s="2"/>
    </row>
    <row r="13" spans="1:19" x14ac:dyDescent="0.25">
      <c r="A13" s="72"/>
      <c r="B13" s="26"/>
      <c r="C13" s="27"/>
      <c r="D13" s="28"/>
      <c r="E13" s="29"/>
      <c r="F13" s="30"/>
      <c r="G13" s="31"/>
      <c r="H13" s="32"/>
      <c r="I13" s="33" t="s">
        <v>20</v>
      </c>
      <c r="J13" s="23">
        <f>SUM(J12)</f>
        <v>104167</v>
      </c>
      <c r="K13" s="34"/>
      <c r="L13" s="34"/>
      <c r="M13" s="35"/>
      <c r="P13" s="36"/>
      <c r="S13" s="36"/>
    </row>
    <row r="14" spans="1:19" ht="33.75" customHeight="1" x14ac:dyDescent="0.25">
      <c r="A14" s="72"/>
      <c r="B14" s="69" t="str">
        <f>CONCATENATE("На основании проведенного анализа рынка, с учетом округления значений, НМЦК составляет: ",J13, " руб. ")</f>
        <v xml:space="preserve">На основании проведенного анализа рынка, с учетом округления значений, НМЦК составляет: 104167 руб. </v>
      </c>
      <c r="C14" s="69"/>
      <c r="D14" s="69"/>
      <c r="E14" s="69"/>
      <c r="F14" s="69"/>
      <c r="G14" s="69"/>
      <c r="H14" s="69"/>
      <c r="I14" s="69"/>
      <c r="J14" s="69"/>
      <c r="K14" s="69"/>
      <c r="L14" s="69"/>
      <c r="N14" s="2"/>
      <c r="O14" s="2"/>
      <c r="P14" s="37"/>
      <c r="R14" s="2"/>
      <c r="S14" s="37"/>
    </row>
    <row r="15" spans="1:19" ht="15" customHeight="1" x14ac:dyDescent="0.25">
      <c r="A15" s="70" t="s">
        <v>21</v>
      </c>
      <c r="B15" s="70"/>
      <c r="C15" s="70"/>
      <c r="D15" s="70"/>
      <c r="E15" s="70"/>
      <c r="F15" s="70"/>
      <c r="G15" s="70"/>
      <c r="H15" s="70"/>
      <c r="I15" s="70"/>
      <c r="J15" s="70"/>
      <c r="K15" s="39"/>
      <c r="L15" s="39"/>
      <c r="N15" s="2"/>
      <c r="P15" s="37"/>
      <c r="S15" s="37"/>
    </row>
    <row r="16" spans="1:19" ht="15" customHeight="1" x14ac:dyDescent="0.25">
      <c r="A16" s="38"/>
      <c r="B16" s="38"/>
      <c r="C16" s="38"/>
      <c r="D16" s="38"/>
      <c r="E16" s="38"/>
      <c r="F16" s="38"/>
      <c r="G16" s="38"/>
      <c r="H16" s="38"/>
      <c r="I16" s="38"/>
      <c r="J16" s="38"/>
      <c r="K16" s="39"/>
      <c r="L16" s="39"/>
      <c r="N16" s="2"/>
      <c r="P16" s="37"/>
      <c r="S16" s="37"/>
    </row>
    <row r="17" spans="1:19" ht="24.6" customHeight="1" x14ac:dyDescent="0.25">
      <c r="A17" s="38"/>
      <c r="B17" s="71" t="s">
        <v>66</v>
      </c>
      <c r="C17" s="71"/>
      <c r="D17" s="71"/>
      <c r="E17" s="71"/>
      <c r="F17" s="71"/>
      <c r="G17" s="71"/>
      <c r="H17" s="71"/>
      <c r="I17" s="71"/>
      <c r="J17" s="71"/>
      <c r="K17" s="71"/>
      <c r="L17" s="71"/>
      <c r="N17" s="2"/>
      <c r="O17" s="36"/>
      <c r="P17" s="37"/>
      <c r="S17" s="37"/>
    </row>
    <row r="18" spans="1:19" x14ac:dyDescent="0.25">
      <c r="A18" s="4"/>
      <c r="B18" s="4"/>
      <c r="C18" s="4"/>
      <c r="D18" s="4"/>
      <c r="E18" s="5"/>
      <c r="F18" s="5"/>
      <c r="G18" s="6"/>
      <c r="H18" s="5"/>
      <c r="I18" s="5"/>
      <c r="J18" s="5"/>
      <c r="K18" s="5"/>
      <c r="L18" s="5"/>
      <c r="N18" s="2"/>
      <c r="P18" s="37"/>
      <c r="S18" s="37"/>
    </row>
    <row r="19" spans="1:19" x14ac:dyDescent="0.25">
      <c r="A19" s="40"/>
      <c r="B19" s="40"/>
      <c r="J19" s="5"/>
      <c r="K19" s="5"/>
      <c r="L19" s="5"/>
      <c r="N19" s="2"/>
      <c r="P19" s="37"/>
      <c r="S19" s="37"/>
    </row>
    <row r="20" spans="1:19" x14ac:dyDescent="0.25">
      <c r="A20" s="63"/>
      <c r="B20" s="63"/>
      <c r="C20" s="63"/>
      <c r="D20" s="41"/>
      <c r="G20" s="64"/>
      <c r="H20" s="64"/>
      <c r="I20" s="64"/>
      <c r="J20" s="64"/>
      <c r="K20" s="64"/>
      <c r="L20" s="64"/>
      <c r="N20" s="2"/>
      <c r="P20" s="37"/>
      <c r="S20" s="37"/>
    </row>
    <row r="21" spans="1:19" ht="15" customHeight="1" x14ac:dyDescent="0.25">
      <c r="A21" s="65"/>
      <c r="B21" s="65"/>
      <c r="C21" s="65"/>
      <c r="D21" s="41"/>
      <c r="J21" s="5"/>
      <c r="K21" s="5"/>
      <c r="L21" s="5"/>
      <c r="N21" s="42"/>
      <c r="O21" s="42"/>
      <c r="P21" s="37"/>
      <c r="R21" s="42"/>
      <c r="S21" s="37"/>
    </row>
    <row r="22" spans="1:19" x14ac:dyDescent="0.25">
      <c r="A22" s="65"/>
      <c r="B22" s="65"/>
      <c r="C22" s="65"/>
      <c r="D22" s="41"/>
      <c r="J22" s="5"/>
      <c r="K22" s="5"/>
      <c r="L22" s="5"/>
      <c r="N22" s="42"/>
      <c r="O22" s="42"/>
      <c r="P22" s="37"/>
      <c r="R22" s="42"/>
      <c r="S22" s="37"/>
    </row>
    <row r="23" spans="1:19" ht="15.75" x14ac:dyDescent="0.25">
      <c r="A23" s="43"/>
      <c r="B23" s="44"/>
      <c r="C23" s="43"/>
      <c r="D23" s="45"/>
      <c r="E23" s="46"/>
      <c r="H23" s="1"/>
      <c r="I23" s="1"/>
      <c r="J23" s="1"/>
      <c r="K23" s="1"/>
      <c r="L23" s="1"/>
      <c r="R23" s="1"/>
      <c r="S23" s="37"/>
    </row>
    <row r="24" spans="1:19" ht="15" customHeight="1" x14ac:dyDescent="0.25">
      <c r="A24" s="66"/>
      <c r="B24" s="66"/>
      <c r="C24" s="66"/>
      <c r="D24" s="66"/>
      <c r="E24" s="66"/>
      <c r="J24" s="5"/>
      <c r="K24" s="5"/>
      <c r="L24" s="5"/>
      <c r="N24" s="47"/>
      <c r="P24" s="48"/>
      <c r="S24" s="48"/>
    </row>
    <row r="25" spans="1:19" x14ac:dyDescent="0.25">
      <c r="A25" s="49"/>
      <c r="G25" s="50"/>
      <c r="H25" s="5"/>
      <c r="I25" s="5"/>
      <c r="J25" s="5"/>
      <c r="K25" s="5"/>
      <c r="L25" s="5"/>
    </row>
    <row r="26" spans="1:19" x14ac:dyDescent="0.25">
      <c r="A26" s="49"/>
      <c r="G26" s="50"/>
      <c r="H26" s="5"/>
      <c r="I26" s="5"/>
      <c r="J26" s="5"/>
      <c r="K26" s="5"/>
      <c r="L26" s="5"/>
    </row>
    <row r="27" spans="1:19" x14ac:dyDescent="0.25">
      <c r="A27" s="49"/>
      <c r="G27" s="50"/>
      <c r="H27" s="5"/>
      <c r="I27" s="5"/>
      <c r="J27" s="5"/>
      <c r="K27" s="5"/>
      <c r="L27" s="5"/>
    </row>
    <row r="28" spans="1:19" x14ac:dyDescent="0.25">
      <c r="A28" s="49"/>
      <c r="G28" s="50"/>
      <c r="H28" s="8"/>
      <c r="I28" s="51"/>
      <c r="J28" s="8"/>
      <c r="K28" s="5"/>
      <c r="L28" s="5"/>
    </row>
    <row r="29" spans="1:19" x14ac:dyDescent="0.25">
      <c r="A29" s="49"/>
      <c r="H29" s="8"/>
      <c r="I29" s="51"/>
      <c r="J29" s="8"/>
      <c r="K29" s="5"/>
      <c r="L29" s="5"/>
    </row>
    <row r="30" spans="1:19" x14ac:dyDescent="0.25">
      <c r="A30" s="49"/>
      <c r="G30" s="50"/>
      <c r="H30" s="8"/>
      <c r="I30" s="51"/>
      <c r="J30" s="52"/>
      <c r="K30" s="5"/>
      <c r="L30" s="5"/>
    </row>
    <row r="31" spans="1:19" x14ac:dyDescent="0.25">
      <c r="A31" s="49"/>
      <c r="G31" s="50"/>
      <c r="H31" s="8"/>
      <c r="I31" s="51"/>
      <c r="J31" s="8"/>
      <c r="K31" s="5"/>
      <c r="L31" s="5"/>
    </row>
    <row r="32" spans="1:19" x14ac:dyDescent="0.25">
      <c r="A32" s="49"/>
      <c r="G32" s="50"/>
      <c r="H32" s="8"/>
      <c r="I32" s="53"/>
      <c r="J32" s="8"/>
      <c r="K32" s="5"/>
      <c r="L32" s="5"/>
    </row>
    <row r="33" spans="1:12" x14ac:dyDescent="0.25">
      <c r="A33" s="49"/>
      <c r="G33" s="50"/>
      <c r="H33" s="8"/>
      <c r="I33" s="51"/>
      <c r="J33" s="8"/>
      <c r="K33" s="5"/>
      <c r="L33" s="5"/>
    </row>
    <row r="34" spans="1:12" x14ac:dyDescent="0.25">
      <c r="A34" s="49"/>
      <c r="G34" s="50"/>
      <c r="H34" s="8"/>
      <c r="I34" s="8"/>
      <c r="J34" s="8"/>
      <c r="K34" s="5"/>
      <c r="L34" s="5"/>
    </row>
    <row r="35" spans="1:12" x14ac:dyDescent="0.25">
      <c r="A35" s="49"/>
      <c r="G35" s="50"/>
      <c r="H35" s="5"/>
      <c r="I35" s="5"/>
      <c r="J35" s="5"/>
      <c r="K35" s="5"/>
      <c r="L35" s="5"/>
    </row>
    <row r="36" spans="1:12" x14ac:dyDescent="0.25">
      <c r="A36" s="49"/>
      <c r="H36" s="5"/>
      <c r="I36" s="5"/>
      <c r="J36" s="5"/>
      <c r="K36" s="5"/>
      <c r="L36" s="5"/>
    </row>
    <row r="37" spans="1:12" x14ac:dyDescent="0.25">
      <c r="A37" s="4"/>
      <c r="B37" s="4"/>
      <c r="C37" s="4"/>
      <c r="D37" s="4"/>
      <c r="E37" s="5"/>
      <c r="F37" s="5"/>
      <c r="G37" s="6"/>
      <c r="H37" s="5"/>
      <c r="I37" s="5"/>
      <c r="J37" s="5"/>
      <c r="K37" s="5"/>
      <c r="L37" s="5"/>
    </row>
    <row r="38" spans="1:12" x14ac:dyDescent="0.25">
      <c r="A38" s="4"/>
      <c r="B38" s="4"/>
      <c r="C38" s="4"/>
      <c r="D38" s="4"/>
      <c r="E38" s="5"/>
      <c r="F38" s="5"/>
      <c r="G38" s="6"/>
      <c r="H38" s="5"/>
      <c r="I38" s="5"/>
      <c r="J38" s="5"/>
      <c r="K38" s="5"/>
      <c r="L38" s="5"/>
    </row>
    <row r="39" spans="1:12" x14ac:dyDescent="0.25">
      <c r="A39" s="4"/>
      <c r="B39" s="4"/>
      <c r="C39" s="4"/>
      <c r="D39" s="4"/>
      <c r="E39" s="5"/>
      <c r="F39" s="5"/>
      <c r="G39" s="6"/>
      <c r="H39" s="5"/>
      <c r="I39" s="5"/>
      <c r="J39" s="5"/>
      <c r="K39" s="5"/>
      <c r="L39" s="5"/>
    </row>
    <row r="40" spans="1:12" x14ac:dyDescent="0.25">
      <c r="A40" s="4"/>
      <c r="B40" s="4"/>
      <c r="C40" s="4"/>
      <c r="D40" s="4"/>
      <c r="E40" s="5"/>
      <c r="F40" s="5"/>
      <c r="G40" s="6"/>
      <c r="H40" s="5"/>
      <c r="I40" s="5"/>
      <c r="J40" s="5"/>
      <c r="K40" s="5"/>
      <c r="L40" s="5"/>
    </row>
    <row r="41" spans="1:12" x14ac:dyDescent="0.25">
      <c r="A41" s="4"/>
      <c r="B41" s="4"/>
      <c r="C41" s="4"/>
      <c r="D41" s="4"/>
      <c r="E41" s="5"/>
      <c r="F41" s="5"/>
      <c r="G41" s="6"/>
      <c r="H41" s="5"/>
      <c r="I41" s="5"/>
      <c r="J41" s="5"/>
      <c r="K41" s="5"/>
      <c r="L41" s="5"/>
    </row>
    <row r="42" spans="1:12" x14ac:dyDescent="0.25">
      <c r="A42" s="4"/>
      <c r="B42" s="4"/>
      <c r="C42" s="4"/>
      <c r="D42" s="4"/>
      <c r="E42" s="5"/>
      <c r="F42" s="5"/>
      <c r="G42" s="6"/>
      <c r="H42" s="5"/>
      <c r="I42" s="5"/>
      <c r="J42" s="5"/>
      <c r="K42" s="5"/>
      <c r="L42" s="5"/>
    </row>
    <row r="43" spans="1:12" x14ac:dyDescent="0.25">
      <c r="A43" s="4"/>
      <c r="B43" s="4"/>
      <c r="C43" s="4"/>
      <c r="D43" s="4"/>
      <c r="E43" s="5"/>
      <c r="F43" s="5"/>
      <c r="G43" s="6"/>
      <c r="H43" s="5"/>
      <c r="I43" s="5"/>
      <c r="J43" s="5"/>
      <c r="K43" s="5"/>
      <c r="L43" s="5"/>
    </row>
    <row r="44" spans="1:12" x14ac:dyDescent="0.25">
      <c r="A44" s="4"/>
      <c r="B44" s="4"/>
      <c r="C44" s="4"/>
      <c r="D44" s="4"/>
      <c r="E44" s="5"/>
      <c r="F44" s="5"/>
      <c r="G44" s="6"/>
      <c r="H44" s="5"/>
      <c r="I44" s="5"/>
      <c r="J44" s="5"/>
      <c r="K44" s="5"/>
      <c r="L44" s="5"/>
    </row>
    <row r="45" spans="1:12" x14ac:dyDescent="0.25">
      <c r="A45" s="4"/>
      <c r="B45" s="4"/>
      <c r="C45" s="4"/>
      <c r="D45" s="4"/>
      <c r="E45" s="5"/>
      <c r="F45" s="5"/>
      <c r="G45" s="6"/>
      <c r="H45" s="5"/>
      <c r="I45" s="5"/>
      <c r="J45" s="5"/>
      <c r="K45" s="5"/>
      <c r="L45" s="5"/>
    </row>
    <row r="46" spans="1:12" x14ac:dyDescent="0.25">
      <c r="A46" s="4"/>
      <c r="B46" s="4"/>
      <c r="C46" s="4"/>
      <c r="D46" s="4"/>
      <c r="E46" s="5"/>
      <c r="F46" s="5"/>
      <c r="G46" s="6"/>
      <c r="H46" s="5"/>
      <c r="I46" s="5"/>
      <c r="J46" s="5"/>
      <c r="K46" s="5"/>
      <c r="L46" s="5"/>
    </row>
    <row r="47" spans="1:12" x14ac:dyDescent="0.25">
      <c r="A47" s="4"/>
      <c r="B47" s="4"/>
      <c r="C47" s="4"/>
      <c r="D47" s="4"/>
      <c r="E47" s="5"/>
      <c r="F47" s="5"/>
      <c r="G47" s="6"/>
      <c r="H47" s="5"/>
      <c r="I47" s="5"/>
      <c r="J47" s="5"/>
      <c r="K47" s="5"/>
      <c r="L47" s="5"/>
    </row>
    <row r="48" spans="1:12" x14ac:dyDescent="0.25">
      <c r="A48" s="4"/>
      <c r="B48" s="4"/>
      <c r="C48" s="4"/>
      <c r="D48" s="4"/>
      <c r="E48" s="5"/>
      <c r="F48" s="5"/>
      <c r="G48" s="6"/>
      <c r="H48" s="5"/>
      <c r="I48" s="5"/>
      <c r="J48" s="5"/>
      <c r="K48" s="5"/>
      <c r="L48" s="5"/>
    </row>
    <row r="49" spans="1:12" x14ac:dyDescent="0.25">
      <c r="A49" s="4"/>
      <c r="B49" s="4"/>
      <c r="C49" s="4"/>
      <c r="D49" s="4"/>
      <c r="E49" s="5"/>
      <c r="F49" s="5"/>
      <c r="G49" s="6"/>
      <c r="H49" s="5"/>
      <c r="I49" s="5"/>
      <c r="J49" s="5"/>
      <c r="K49" s="5"/>
      <c r="L49" s="5"/>
    </row>
    <row r="50" spans="1:12" x14ac:dyDescent="0.25">
      <c r="A50" s="4"/>
      <c r="B50" s="4"/>
      <c r="C50" s="4"/>
      <c r="D50" s="4"/>
      <c r="E50" s="5"/>
      <c r="F50" s="5"/>
      <c r="G50" s="6"/>
      <c r="H50" s="5"/>
      <c r="I50" s="5"/>
      <c r="J50" s="5"/>
      <c r="K50" s="5"/>
      <c r="L50" s="5"/>
    </row>
    <row r="51" spans="1:12" x14ac:dyDescent="0.25">
      <c r="A51" s="4"/>
      <c r="B51" s="4"/>
      <c r="C51" s="4"/>
      <c r="D51" s="4"/>
      <c r="E51" s="5"/>
      <c r="F51" s="5"/>
      <c r="G51" s="6"/>
      <c r="H51" s="5"/>
      <c r="I51" s="5"/>
      <c r="J51" s="5"/>
      <c r="K51" s="5"/>
      <c r="L51" s="5"/>
    </row>
    <row r="52" spans="1:12" x14ac:dyDescent="0.25">
      <c r="A52" s="4"/>
      <c r="B52" s="4"/>
      <c r="C52" s="4"/>
      <c r="D52" s="4"/>
      <c r="E52" s="5"/>
      <c r="F52" s="5"/>
      <c r="G52" s="6"/>
      <c r="H52" s="5"/>
      <c r="I52" s="5"/>
      <c r="J52" s="5"/>
      <c r="K52" s="5"/>
      <c r="L52" s="5"/>
    </row>
    <row r="53" spans="1:12" x14ac:dyDescent="0.25">
      <c r="A53" s="4"/>
      <c r="B53" s="4"/>
      <c r="C53" s="4"/>
      <c r="D53" s="4"/>
      <c r="E53" s="5"/>
      <c r="F53" s="5"/>
      <c r="G53" s="6"/>
      <c r="H53" s="5"/>
      <c r="I53" s="5"/>
      <c r="J53" s="5"/>
      <c r="K53" s="5"/>
      <c r="L53" s="5"/>
    </row>
    <row r="54" spans="1:12" x14ac:dyDescent="0.25">
      <c r="A54" s="4"/>
      <c r="B54" s="4"/>
      <c r="C54" s="4"/>
      <c r="D54" s="4"/>
      <c r="E54" s="5"/>
      <c r="F54" s="5"/>
      <c r="G54" s="6"/>
      <c r="H54" s="5"/>
      <c r="I54" s="5"/>
      <c r="J54" s="5"/>
      <c r="K54" s="5"/>
      <c r="L54" s="5"/>
    </row>
    <row r="55" spans="1:12" x14ac:dyDescent="0.25">
      <c r="A55" s="4"/>
      <c r="B55" s="4"/>
      <c r="C55" s="4"/>
      <c r="D55" s="4"/>
      <c r="E55" s="5"/>
      <c r="F55" s="5"/>
      <c r="G55" s="6"/>
      <c r="H55" s="5"/>
      <c r="I55" s="5"/>
      <c r="J55" s="5"/>
      <c r="K55" s="5"/>
      <c r="L55" s="5"/>
    </row>
    <row r="56" spans="1:12" x14ac:dyDescent="0.25">
      <c r="A56" s="4"/>
      <c r="B56" s="4"/>
      <c r="C56" s="4"/>
      <c r="D56" s="4"/>
      <c r="E56" s="5"/>
      <c r="F56" s="5"/>
      <c r="G56" s="6"/>
      <c r="H56" s="5"/>
      <c r="I56" s="5"/>
      <c r="J56" s="5"/>
      <c r="K56" s="5"/>
      <c r="L56" s="5"/>
    </row>
    <row r="57" spans="1:12" x14ac:dyDescent="0.25">
      <c r="A57" s="4"/>
      <c r="B57" s="4"/>
      <c r="C57" s="4"/>
      <c r="D57" s="4"/>
      <c r="E57" s="5"/>
      <c r="F57" s="5"/>
      <c r="G57" s="6"/>
      <c r="H57" s="5"/>
      <c r="I57" s="5"/>
      <c r="J57" s="5"/>
      <c r="K57" s="5"/>
      <c r="L57" s="5"/>
    </row>
    <row r="58" spans="1:12" x14ac:dyDescent="0.25">
      <c r="A58" s="4"/>
      <c r="B58" s="4"/>
      <c r="C58" s="4"/>
      <c r="D58" s="4"/>
      <c r="E58" s="5"/>
      <c r="F58" s="5"/>
      <c r="G58" s="6"/>
      <c r="H58" s="5"/>
      <c r="I58" s="5"/>
      <c r="J58" s="5"/>
      <c r="K58" s="5"/>
      <c r="L58" s="5"/>
    </row>
    <row r="59" spans="1:12" x14ac:dyDescent="0.25">
      <c r="A59" s="4"/>
      <c r="B59" s="4"/>
      <c r="C59" s="4"/>
      <c r="D59" s="4"/>
      <c r="E59" s="5"/>
      <c r="F59" s="5"/>
      <c r="G59" s="6"/>
      <c r="H59" s="5"/>
      <c r="I59" s="5"/>
      <c r="J59" s="5"/>
      <c r="K59" s="5"/>
      <c r="L59" s="5"/>
    </row>
    <row r="60" spans="1:12" x14ac:dyDescent="0.25">
      <c r="A60" s="4"/>
      <c r="B60" s="4"/>
      <c r="C60" s="4"/>
      <c r="D60" s="4"/>
      <c r="E60" s="5"/>
      <c r="F60" s="5"/>
      <c r="G60" s="6"/>
      <c r="H60" s="5"/>
      <c r="I60" s="5"/>
      <c r="J60" s="5"/>
      <c r="K60" s="5"/>
      <c r="L60" s="5"/>
    </row>
    <row r="61" spans="1:12" x14ac:dyDescent="0.25">
      <c r="A61" s="4"/>
      <c r="B61" s="4"/>
      <c r="C61" s="4"/>
      <c r="D61" s="4"/>
      <c r="E61" s="5"/>
      <c r="F61" s="5"/>
      <c r="G61" s="6"/>
      <c r="H61" s="5"/>
      <c r="I61" s="5"/>
      <c r="J61" s="5"/>
      <c r="K61" s="5"/>
      <c r="L61" s="5"/>
    </row>
    <row r="62" spans="1:12" x14ac:dyDescent="0.25">
      <c r="A62" s="4"/>
      <c r="B62" s="4"/>
      <c r="C62" s="4"/>
      <c r="D62" s="4"/>
      <c r="E62" s="5"/>
      <c r="F62" s="5"/>
      <c r="G62" s="6"/>
      <c r="H62" s="5"/>
      <c r="I62" s="5"/>
      <c r="J62" s="5"/>
      <c r="K62" s="5"/>
      <c r="L62" s="5"/>
    </row>
    <row r="63" spans="1:12" x14ac:dyDescent="0.25">
      <c r="A63" s="4"/>
      <c r="B63" s="4"/>
      <c r="C63" s="4"/>
      <c r="D63" s="4"/>
      <c r="E63" s="5"/>
      <c r="F63" s="5"/>
      <c r="G63" s="6"/>
      <c r="H63" s="5"/>
      <c r="I63" s="5"/>
      <c r="J63" s="5"/>
      <c r="K63" s="5"/>
      <c r="L63" s="5"/>
    </row>
    <row r="64" spans="1:12" x14ac:dyDescent="0.25">
      <c r="A64" s="4"/>
      <c r="B64" s="4"/>
      <c r="C64" s="4"/>
      <c r="D64" s="4"/>
      <c r="E64" s="5"/>
      <c r="F64" s="5"/>
      <c r="G64" s="6"/>
      <c r="H64" s="5"/>
      <c r="I64" s="5"/>
      <c r="J64" s="5"/>
      <c r="K64" s="5"/>
      <c r="L64" s="5"/>
    </row>
    <row r="65" spans="1:12" x14ac:dyDescent="0.25">
      <c r="A65" s="4"/>
      <c r="B65" s="4"/>
      <c r="C65" s="4"/>
      <c r="D65" s="4"/>
      <c r="E65" s="5"/>
      <c r="F65" s="5"/>
      <c r="G65" s="6"/>
      <c r="H65" s="5"/>
      <c r="I65" s="5"/>
      <c r="J65" s="5"/>
      <c r="K65" s="5"/>
      <c r="L65" s="5"/>
    </row>
    <row r="66" spans="1:12" x14ac:dyDescent="0.25">
      <c r="A66" s="4"/>
      <c r="B66" s="4"/>
      <c r="C66" s="4"/>
      <c r="D66" s="4"/>
      <c r="E66" s="5"/>
      <c r="F66" s="5"/>
      <c r="G66" s="6"/>
      <c r="H66" s="5"/>
      <c r="I66" s="5"/>
      <c r="J66" s="5"/>
      <c r="K66" s="5"/>
      <c r="L66" s="5"/>
    </row>
    <row r="67" spans="1:12" x14ac:dyDescent="0.25">
      <c r="A67" s="4"/>
      <c r="B67" s="4"/>
      <c r="C67" s="4"/>
      <c r="D67" s="4"/>
      <c r="E67" s="5"/>
      <c r="F67" s="5"/>
      <c r="G67" s="6"/>
      <c r="H67" s="5"/>
      <c r="I67" s="5"/>
      <c r="J67" s="5"/>
      <c r="K67" s="5"/>
      <c r="L67" s="5"/>
    </row>
    <row r="68" spans="1:12" x14ac:dyDescent="0.25">
      <c r="A68" s="4"/>
      <c r="B68" s="4"/>
      <c r="C68" s="4"/>
      <c r="D68" s="4"/>
      <c r="E68" s="5"/>
      <c r="F68" s="5"/>
      <c r="G68" s="6"/>
      <c r="H68" s="5"/>
      <c r="I68" s="5"/>
      <c r="J68" s="5"/>
      <c r="K68" s="5"/>
      <c r="L68" s="5"/>
    </row>
    <row r="69" spans="1:12" x14ac:dyDescent="0.25">
      <c r="A69" s="4"/>
      <c r="B69" s="4"/>
      <c r="C69" s="4"/>
      <c r="D69" s="4"/>
      <c r="E69" s="5"/>
      <c r="F69" s="5"/>
      <c r="G69" s="6"/>
      <c r="H69" s="5"/>
      <c r="I69" s="5"/>
      <c r="J69" s="5"/>
      <c r="K69" s="5"/>
      <c r="L69" s="5"/>
    </row>
    <row r="70" spans="1:12" x14ac:dyDescent="0.25">
      <c r="A70" s="4"/>
      <c r="B70" s="4"/>
      <c r="C70" s="4"/>
      <c r="D70" s="4"/>
      <c r="E70" s="5"/>
      <c r="F70" s="5"/>
      <c r="G70" s="6"/>
      <c r="H70" s="5"/>
      <c r="I70" s="5"/>
      <c r="J70" s="5"/>
      <c r="K70" s="5"/>
      <c r="L70" s="5"/>
    </row>
    <row r="71" spans="1:12" x14ac:dyDescent="0.25">
      <c r="A71" s="4"/>
      <c r="B71" s="4"/>
      <c r="C71" s="4"/>
      <c r="D71" s="4"/>
      <c r="E71" s="5"/>
      <c r="F71" s="5"/>
      <c r="G71" s="6"/>
      <c r="H71" s="5"/>
      <c r="I71" s="5"/>
      <c r="J71" s="5"/>
      <c r="K71" s="5"/>
      <c r="L71" s="5"/>
    </row>
  </sheetData>
  <mergeCells count="21">
    <mergeCell ref="E1:L2"/>
    <mergeCell ref="C3:J3"/>
    <mergeCell ref="A4:L4"/>
    <mergeCell ref="A6:L6"/>
    <mergeCell ref="B8:J8"/>
    <mergeCell ref="B9:J9"/>
    <mergeCell ref="A10:A14"/>
    <mergeCell ref="B10:B11"/>
    <mergeCell ref="C10:C11"/>
    <mergeCell ref="D10:D11"/>
    <mergeCell ref="E10:E11"/>
    <mergeCell ref="I10:I11"/>
    <mergeCell ref="A20:C20"/>
    <mergeCell ref="G20:L20"/>
    <mergeCell ref="A21:C22"/>
    <mergeCell ref="A24:E24"/>
    <mergeCell ref="K10:K11"/>
    <mergeCell ref="L10:L11"/>
    <mergeCell ref="B14:L14"/>
    <mergeCell ref="A15:J15"/>
    <mergeCell ref="B17:L17"/>
  </mergeCells>
  <pageMargins left="0.23611111111111099" right="0.23611111111111099" top="4.5138888888888902E-2" bottom="0.20833333333333301" header="0.511811023622047" footer="0.511811023622047"/>
  <pageSetup paperSize="9" scale="82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view="pageBreakPreview" topLeftCell="A10" zoomScale="85" zoomScaleNormal="100" zoomScalePageLayoutView="85" workbookViewId="0">
      <selection activeCell="B30" sqref="B30"/>
    </sheetView>
  </sheetViews>
  <sheetFormatPr defaultColWidth="11.5703125" defaultRowHeight="12.75" customHeight="1" x14ac:dyDescent="0.25"/>
  <cols>
    <col min="1" max="1" width="21.140625" style="1" customWidth="1"/>
    <col min="2" max="2" width="129" style="1" customWidth="1"/>
    <col min="4" max="6" width="20.42578125" style="1" customWidth="1"/>
  </cols>
  <sheetData>
    <row r="1" spans="1:6" ht="15" x14ac:dyDescent="0.25">
      <c r="A1" s="82" t="s">
        <v>22</v>
      </c>
      <c r="B1" s="82"/>
      <c r="C1" s="82"/>
      <c r="D1" s="82"/>
      <c r="E1" s="82"/>
      <c r="F1" s="82"/>
    </row>
    <row r="2" spans="1:6" ht="15" x14ac:dyDescent="0.25"/>
    <row r="3" spans="1:6" ht="12.2" customHeight="1" x14ac:dyDescent="0.25">
      <c r="A3" s="54"/>
      <c r="B3" s="54"/>
      <c r="C3" s="54"/>
      <c r="D3" s="83" t="s">
        <v>23</v>
      </c>
      <c r="E3" s="83"/>
      <c r="F3" s="83"/>
    </row>
    <row r="4" spans="1:6" ht="60" x14ac:dyDescent="0.25">
      <c r="A4" s="55" t="s">
        <v>24</v>
      </c>
      <c r="B4" s="55" t="s">
        <v>25</v>
      </c>
      <c r="C4" s="55" t="s">
        <v>26</v>
      </c>
      <c r="D4" s="55" t="s">
        <v>27</v>
      </c>
      <c r="E4" s="55" t="s">
        <v>28</v>
      </c>
      <c r="F4" s="55" t="s">
        <v>29</v>
      </c>
    </row>
    <row r="5" spans="1:6" ht="60" x14ac:dyDescent="0.25">
      <c r="A5" s="55" t="s">
        <v>30</v>
      </c>
      <c r="B5" s="54"/>
      <c r="C5" s="56"/>
      <c r="D5" s="57">
        <v>2400000</v>
      </c>
      <c r="E5" s="57">
        <v>2976000</v>
      </c>
      <c r="F5" s="57">
        <v>2320000</v>
      </c>
    </row>
    <row r="6" spans="1:6" ht="30" x14ac:dyDescent="0.25">
      <c r="A6" s="55" t="s">
        <v>31</v>
      </c>
      <c r="B6" s="58" t="s">
        <v>32</v>
      </c>
      <c r="C6" s="59">
        <v>0.13200000000000001</v>
      </c>
      <c r="D6" s="57">
        <f>D5*(1+C6)</f>
        <v>2716800.0000000005</v>
      </c>
      <c r="E6" s="60"/>
      <c r="F6" s="57"/>
    </row>
    <row r="7" spans="1:6" ht="30" x14ac:dyDescent="0.25">
      <c r="A7" s="55" t="s">
        <v>33</v>
      </c>
      <c r="B7" s="54" t="s">
        <v>34</v>
      </c>
      <c r="C7" s="59">
        <v>8.3000000000000004E-2</v>
      </c>
      <c r="D7" s="57">
        <f>D6*(1+C7)</f>
        <v>2942294.4000000004</v>
      </c>
      <c r="E7" s="57"/>
      <c r="F7" s="57"/>
    </row>
    <row r="8" spans="1:6" ht="30" x14ac:dyDescent="0.25">
      <c r="A8" s="55" t="s">
        <v>35</v>
      </c>
      <c r="B8" s="54" t="s">
        <v>36</v>
      </c>
      <c r="C8" s="59">
        <v>0.115</v>
      </c>
      <c r="D8" s="57">
        <f>D7*(1+C8)</f>
        <v>3280658.2560000005</v>
      </c>
      <c r="E8" s="57">
        <f>E5*(1+C8)</f>
        <v>3318240</v>
      </c>
      <c r="F8" s="57"/>
    </row>
    <row r="9" spans="1:6" ht="30" x14ac:dyDescent="0.25">
      <c r="A9" s="55" t="s">
        <v>37</v>
      </c>
      <c r="B9" s="54" t="s">
        <v>36</v>
      </c>
      <c r="C9" s="59">
        <v>0.13</v>
      </c>
      <c r="D9" s="57"/>
      <c r="E9" s="57"/>
      <c r="F9" s="57"/>
    </row>
    <row r="10" spans="1:6" ht="30" x14ac:dyDescent="0.25">
      <c r="A10" s="55" t="s">
        <v>38</v>
      </c>
      <c r="B10" s="54" t="s">
        <v>39</v>
      </c>
      <c r="C10" s="59">
        <v>0.127</v>
      </c>
      <c r="D10" s="57"/>
      <c r="E10" s="57"/>
      <c r="F10" s="57"/>
    </row>
    <row r="11" spans="1:6" ht="30" x14ac:dyDescent="0.25">
      <c r="A11" s="55" t="s">
        <v>40</v>
      </c>
      <c r="B11" s="54" t="s">
        <v>41</v>
      </c>
      <c r="C11" s="59">
        <v>0.129</v>
      </c>
      <c r="D11" s="57"/>
      <c r="E11" s="57"/>
      <c r="F11" s="57"/>
    </row>
    <row r="12" spans="1:6" ht="30" x14ac:dyDescent="0.25">
      <c r="A12" s="55" t="s">
        <v>42</v>
      </c>
      <c r="B12" s="54" t="s">
        <v>43</v>
      </c>
      <c r="C12" s="59">
        <v>0.128</v>
      </c>
      <c r="D12" s="57"/>
      <c r="E12" s="57"/>
      <c r="F12" s="57"/>
    </row>
    <row r="13" spans="1:6" ht="30" x14ac:dyDescent="0.25">
      <c r="A13" s="55" t="s">
        <v>44</v>
      </c>
      <c r="B13" s="54" t="s">
        <v>45</v>
      </c>
      <c r="C13" s="59">
        <v>0.126</v>
      </c>
      <c r="D13" s="57"/>
      <c r="E13" s="57"/>
      <c r="F13" s="57"/>
    </row>
    <row r="14" spans="1:6" ht="30" x14ac:dyDescent="0.25">
      <c r="A14" s="55" t="s">
        <v>46</v>
      </c>
      <c r="B14" s="54" t="s">
        <v>47</v>
      </c>
      <c r="C14" s="59">
        <v>0.12</v>
      </c>
      <c r="D14" s="57"/>
      <c r="E14" s="57"/>
      <c r="F14" s="57"/>
    </row>
    <row r="15" spans="1:6" ht="30" x14ac:dyDescent="0.25">
      <c r="A15" s="55" t="s">
        <v>48</v>
      </c>
      <c r="B15" s="54" t="s">
        <v>49</v>
      </c>
      <c r="C15" s="59">
        <v>0.11899999999999999</v>
      </c>
      <c r="D15" s="57"/>
      <c r="E15" s="57"/>
      <c r="F15" s="57"/>
    </row>
    <row r="16" spans="1:6" ht="30" x14ac:dyDescent="0.25">
      <c r="A16" s="55" t="s">
        <v>50</v>
      </c>
      <c r="B16" s="54" t="s">
        <v>51</v>
      </c>
      <c r="C16" s="59">
        <v>0.111</v>
      </c>
      <c r="D16" s="57"/>
      <c r="E16" s="57"/>
      <c r="F16" s="57"/>
    </row>
    <row r="17" spans="1:6" ht="30" x14ac:dyDescent="0.25">
      <c r="A17" s="55" t="s">
        <v>52</v>
      </c>
      <c r="B17" s="54" t="s">
        <v>53</v>
      </c>
      <c r="C17" s="59">
        <v>0.111</v>
      </c>
      <c r="D17" s="57"/>
      <c r="E17" s="57"/>
      <c r="F17" s="57"/>
    </row>
    <row r="18" spans="1:6" ht="30" x14ac:dyDescent="0.25">
      <c r="A18" s="55" t="s">
        <v>54</v>
      </c>
      <c r="B18" s="54" t="s">
        <v>55</v>
      </c>
      <c r="C18" s="59">
        <v>0.104</v>
      </c>
      <c r="D18" s="57"/>
      <c r="E18" s="57"/>
      <c r="F18" s="57"/>
    </row>
    <row r="19" spans="1:6" ht="30" x14ac:dyDescent="0.25">
      <c r="A19" s="55" t="s">
        <v>56</v>
      </c>
      <c r="B19" s="54" t="s">
        <v>57</v>
      </c>
      <c r="C19" s="59">
        <v>9.4E-2</v>
      </c>
      <c r="D19" s="57"/>
      <c r="E19" s="57"/>
      <c r="F19" s="57"/>
    </row>
    <row r="20" spans="1:6" ht="30" x14ac:dyDescent="0.25">
      <c r="A20" s="55" t="s">
        <v>58</v>
      </c>
      <c r="B20" s="54" t="s">
        <v>59</v>
      </c>
      <c r="C20" s="59">
        <v>9.2999999999999999E-2</v>
      </c>
      <c r="D20" s="57"/>
      <c r="E20" s="57"/>
      <c r="F20" s="57"/>
    </row>
    <row r="21" spans="1:6" ht="60" x14ac:dyDescent="0.25">
      <c r="A21" s="55" t="s">
        <v>60</v>
      </c>
      <c r="B21" s="54"/>
      <c r="C21" s="59">
        <f>AVERAGE(C9:C20)</f>
        <v>0.11600000000000001</v>
      </c>
      <c r="D21" s="57">
        <f>D8*(1+C21)</f>
        <v>3661214.613696001</v>
      </c>
      <c r="E21" s="57">
        <f>E8*(1+C21)</f>
        <v>3703155.8400000003</v>
      </c>
      <c r="F21" s="57">
        <f>F5*(1+C21)</f>
        <v>2589120.0000000005</v>
      </c>
    </row>
    <row r="22" spans="1:6" ht="195" x14ac:dyDescent="0.25">
      <c r="A22" s="61" t="s">
        <v>61</v>
      </c>
      <c r="B22" s="58" t="s">
        <v>62</v>
      </c>
      <c r="C22" s="59">
        <v>0.04</v>
      </c>
      <c r="D22" s="62">
        <f>D21*(1+C22)</f>
        <v>3807663.1982438411</v>
      </c>
      <c r="E22" s="62">
        <f>E21*(1+C22)</f>
        <v>3851282.0736000002</v>
      </c>
      <c r="F22" s="62">
        <f>F21*(1+C22)</f>
        <v>2692684.8000000007</v>
      </c>
    </row>
    <row r="24" spans="1:6" ht="15" x14ac:dyDescent="0.25">
      <c r="A24" s="84" t="s">
        <v>63</v>
      </c>
      <c r="B24" s="84"/>
      <c r="C24" s="84"/>
      <c r="D24" s="84"/>
      <c r="E24" s="84"/>
      <c r="F24" s="84"/>
    </row>
  </sheetData>
  <mergeCells count="3">
    <mergeCell ref="A1:F1"/>
    <mergeCell ref="D3:F3"/>
    <mergeCell ref="A24:F24"/>
  </mergeCells>
  <hyperlinks>
    <hyperlink ref="B6" r:id="rId1"/>
    <hyperlink ref="B7" r:id="rId2"/>
    <hyperlink ref="B8" r:id="rId3"/>
    <hyperlink ref="B9" r:id="rId4"/>
    <hyperlink ref="B10" r:id="rId5"/>
    <hyperlink ref="B11" r:id="rId6"/>
    <hyperlink ref="B12" r:id="rId7"/>
    <hyperlink ref="B13" r:id="rId8"/>
    <hyperlink ref="B14" r:id="rId9"/>
    <hyperlink ref="B15" r:id="rId10"/>
    <hyperlink ref="B16" r:id="rId11"/>
    <hyperlink ref="B17" r:id="rId12"/>
    <hyperlink ref="B18" r:id="rId13"/>
    <hyperlink ref="B19" r:id="rId14"/>
    <hyperlink ref="B20" r:id="rId15"/>
    <hyperlink ref="B22" r:id="rId16"/>
  </hyperlinks>
  <pageMargins left="0.78749999999999998" right="0.78749999999999998" top="1.05277777777778" bottom="1.05277777777778" header="0.78749999999999998" footer="0.78749999999999998"/>
  <pageSetup paperSize="9" scale="38" orientation="portrait" horizontalDpi="300" verticalDpi="300" r:id="rId17"/>
  <headerFooter>
    <oddHeader>&amp;C&amp;"Times New Roman,Обычный"&amp;12&amp;Kffffff&amp;A</oddHeader>
    <oddFooter>&amp;C&amp;"Times New Roman,Обычный"&amp;12&amp;KffffffСтраница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НМЦК</vt:lpstr>
      <vt:lpstr>Пересчет НМЦК</vt:lpstr>
      <vt:lpstr>НМЦК!Область_печати</vt:lpstr>
    </vt:vector>
  </TitlesOfParts>
  <Company>Администрация г.Мегион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Аюпов Дамир Айратович</dc:creator>
  <dc:description/>
  <cp:lastModifiedBy>Койков Вячеслав Алексеевич</cp:lastModifiedBy>
  <cp:revision>57</cp:revision>
  <cp:lastPrinted>2019-12-06T03:13:19Z</cp:lastPrinted>
  <dcterms:created xsi:type="dcterms:W3CDTF">2014-01-17T06:35:40Z</dcterms:created>
  <dcterms:modified xsi:type="dcterms:W3CDTF">2026-02-26T09:28:45Z</dcterms:modified>
  <dc:language>ru-RU</dc:language>
</cp:coreProperties>
</file>